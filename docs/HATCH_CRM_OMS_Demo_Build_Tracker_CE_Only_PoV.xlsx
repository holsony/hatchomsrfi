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twodegrees1.sharepoint.com/teams/MicrosoftCoE/Shared Documents/Dynamics 365 Community/Sales &amp; Marketing/Pursuit Artifacts/HATCH FOR HUNGER/CRM OMS RFI/"/>
    </mc:Choice>
  </mc:AlternateContent>
  <xr:revisionPtr revIDLastSave="186" documentId="8_{7BD23386-DC26-4889-AF1D-79782990FA60}" xr6:coauthVersionLast="47" xr6:coauthVersionMax="47" xr10:uidLastSave="{77B76605-1EA3-4A40-8B27-124D4357B9E3}"/>
  <bookViews>
    <workbookView xWindow="20" yWindow="600" windowWidth="51200" windowHeight="26320" activeTab="1" xr2:uid="{00000000-000D-0000-FFFF-FFFF00000000}"/>
  </bookViews>
  <sheets>
    <sheet name="CE-Only POV" sheetId="1" r:id="rId1"/>
    <sheet name="Demo Build Tracker" sheetId="2" r:id="rId2"/>
    <sheet name="Agenda Summary" sheetId="3" r:id="rId3"/>
    <sheet name="Hero Records" sheetId="4" r:id="rId4"/>
    <sheet name="Build Status Summary" sheetId="5" r:id="rId5"/>
    <sheet name="Scoring Weights" sheetId="6" r:id="rId6"/>
    <sheet name="Source Notes" sheetId="7" r:id="rId7"/>
    <sheet name="Demo Build Lens" sheetId="8" r:id="rId8"/>
  </sheets>
  <definedNames>
    <definedName name="_xlnm._FilterDatabase" localSheetId="1" hidden="1">'Demo Build Tracker'!$A$4:$O$44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5" l="1"/>
  <c r="B21" i="5"/>
  <c r="C20" i="5"/>
  <c r="B20" i="5"/>
  <c r="C19" i="5"/>
  <c r="B19" i="5"/>
  <c r="C18" i="5"/>
  <c r="B18" i="5"/>
  <c r="C17" i="5"/>
  <c r="B17" i="5"/>
  <c r="C16" i="5"/>
  <c r="B16" i="5"/>
  <c r="C15" i="5"/>
  <c r="B15" i="5"/>
  <c r="C14" i="5"/>
  <c r="B14" i="5"/>
  <c r="B10" i="5"/>
  <c r="B9" i="5"/>
  <c r="B8" i="5"/>
  <c r="B7" i="5"/>
  <c r="B6" i="5"/>
  <c r="B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H5" authorId="0" shapeId="0" xr:uid="{00000000-0006-0000-0100-000001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5" authorId="0" shapeId="0" xr:uid="{00000000-0006-0000-0100-00000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6" authorId="0" shapeId="0" xr:uid="{00000000-0006-0000-0100-000003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6" authorId="0" shapeId="0" xr:uid="{00000000-0006-0000-0100-000004000000}">
      <text>
        <r>
          <rPr>
            <sz val="11"/>
            <color rgb="FF000000"/>
            <rFont val="Calibri"/>
            <family val="2"/>
          </rPr>
          <t>Source: HATCH_CRM_OMS_120_Minute_Demo_Script_Vendor.docx; URL: https://twodegrees1.sharepoint.com/:w:/t/HatchforHunger/IQCUtUWwUM_9RK7pMlWrwJIQAUE9RsK2x2IIQ7P5RRKjf7w?email=holson.yap%40slalom.com&amp;e=IYuFkh</t>
        </r>
      </text>
    </comment>
    <comment ref="H7" authorId="0" shapeId="0" xr:uid="{00000000-0006-0000-0100-000005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7" authorId="0" shapeId="0" xr:uid="{00000000-0006-0000-0100-00000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8" authorId="0" shapeId="0" xr:uid="{00000000-0006-0000-0100-000007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8" authorId="0" shapeId="0" xr:uid="{00000000-0006-0000-0100-00000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9" authorId="0" shapeId="0" xr:uid="{00000000-0006-0000-0100-000009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9" authorId="0" shapeId="0" xr:uid="{00000000-0006-0000-0100-00000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0" authorId="0" shapeId="0" xr:uid="{00000000-0006-0000-0100-00000B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0" authorId="0" shapeId="0" xr:uid="{00000000-0006-0000-0100-00000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1" authorId="0" shapeId="0" xr:uid="{00000000-0006-0000-0100-00000D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1" authorId="0" shapeId="0" xr:uid="{00000000-0006-0000-0100-00000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2" authorId="0" shapeId="0" xr:uid="{00000000-0006-0000-0100-00000F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2" authorId="0" shapeId="0" xr:uid="{00000000-0006-0000-0100-00001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3" authorId="0" shapeId="0" xr:uid="{00000000-0006-0000-0100-000011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3" authorId="0" shapeId="0" xr:uid="{00000000-0006-0000-0100-00001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4" authorId="0" shapeId="0" xr:uid="{00000000-0006-0000-0100-000013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4" authorId="0" shapeId="0" xr:uid="{00000000-0006-0000-0100-000014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5" authorId="0" shapeId="0" xr:uid="{00000000-0006-0000-0100-000015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5" authorId="0" shapeId="0" xr:uid="{00000000-0006-0000-0100-00001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6" authorId="0" shapeId="0" xr:uid="{00000000-0006-0000-0100-000017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6" authorId="0" shapeId="0" xr:uid="{00000000-0006-0000-0100-00001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7" authorId="0" shapeId="0" xr:uid="{00000000-0006-0000-0100-000019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7" authorId="0" shapeId="0" xr:uid="{00000000-0006-0000-0100-00001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8" authorId="0" shapeId="0" xr:uid="{00000000-0006-0000-0100-00001B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8" authorId="0" shapeId="0" xr:uid="{00000000-0006-0000-0100-00001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19" authorId="0" shapeId="0" xr:uid="{00000000-0006-0000-0100-00001D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19" authorId="0" shapeId="0" xr:uid="{00000000-0006-0000-0100-00001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0" authorId="0" shapeId="0" xr:uid="{00000000-0006-0000-0100-00001F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0" authorId="0" shapeId="0" xr:uid="{00000000-0006-0000-0100-00002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1" authorId="0" shapeId="0" xr:uid="{00000000-0006-0000-0100-000021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1" authorId="0" shapeId="0" xr:uid="{00000000-0006-0000-0100-00002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2" authorId="0" shapeId="0" xr:uid="{00000000-0006-0000-0100-000023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2" authorId="0" shapeId="0" xr:uid="{00000000-0006-0000-0100-000024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3" authorId="0" shapeId="0" xr:uid="{00000000-0006-0000-0100-000025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3" authorId="0" shapeId="0" xr:uid="{00000000-0006-0000-0100-00002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4" authorId="0" shapeId="0" xr:uid="{00000000-0006-0000-0100-000027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4" authorId="0" shapeId="0" xr:uid="{00000000-0006-0000-0100-00002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5" authorId="0" shapeId="0" xr:uid="{00000000-0006-0000-0100-000029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5" authorId="0" shapeId="0" xr:uid="{00000000-0006-0000-0100-00002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6" authorId="0" shapeId="0" xr:uid="{00000000-0006-0000-0100-00002B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6" authorId="0" shapeId="0" xr:uid="{00000000-0006-0000-0100-00002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7" authorId="0" shapeId="0" xr:uid="{00000000-0006-0000-0100-00002D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7" authorId="0" shapeId="0" xr:uid="{00000000-0006-0000-0100-00002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8" authorId="0" shapeId="0" xr:uid="{00000000-0006-0000-0100-00002F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8" authorId="0" shapeId="0" xr:uid="{00000000-0006-0000-0100-00003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29" authorId="0" shapeId="0" xr:uid="{00000000-0006-0000-0100-000031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29" authorId="0" shapeId="0" xr:uid="{00000000-0006-0000-0100-00003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0" authorId="0" shapeId="0" xr:uid="{00000000-0006-0000-0100-000033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0" authorId="0" shapeId="0" xr:uid="{00000000-0006-0000-0100-000034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1" authorId="0" shapeId="0" xr:uid="{00000000-0006-0000-0100-000035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1" authorId="0" shapeId="0" xr:uid="{00000000-0006-0000-0100-00003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2" authorId="0" shapeId="0" xr:uid="{00000000-0006-0000-0100-000037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2" authorId="0" shapeId="0" xr:uid="{00000000-0006-0000-0100-00003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3" authorId="0" shapeId="0" xr:uid="{00000000-0006-0000-0100-000039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3" authorId="0" shapeId="0" xr:uid="{00000000-0006-0000-0100-00003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4" authorId="0" shapeId="0" xr:uid="{00000000-0006-0000-0100-00003B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4" authorId="0" shapeId="0" xr:uid="{00000000-0006-0000-0100-00003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5" authorId="0" shapeId="0" xr:uid="{00000000-0006-0000-0100-00003D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5" authorId="0" shapeId="0" xr:uid="{00000000-0006-0000-0100-00003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6" authorId="0" shapeId="0" xr:uid="{00000000-0006-0000-0100-00003F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6" authorId="0" shapeId="0" xr:uid="{00000000-0006-0000-0100-00004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7" authorId="0" shapeId="0" xr:uid="{00000000-0006-0000-0100-000041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7" authorId="0" shapeId="0" xr:uid="{00000000-0006-0000-0100-00004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8" authorId="0" shapeId="0" xr:uid="{00000000-0006-0000-0100-000043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8" authorId="0" shapeId="0" xr:uid="{00000000-0006-0000-0100-000044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39" authorId="0" shapeId="0" xr:uid="{00000000-0006-0000-0100-000045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39" authorId="0" shapeId="0" xr:uid="{00000000-0006-0000-0100-00004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40" authorId="0" shapeId="0" xr:uid="{00000000-0006-0000-0100-000047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40" authorId="0" shapeId="0" xr:uid="{00000000-0006-0000-0100-00004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41" authorId="0" shapeId="0" xr:uid="{00000000-0006-0000-0100-000049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41" authorId="0" shapeId="0" xr:uid="{00000000-0006-0000-0100-00004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42" authorId="0" shapeId="0" xr:uid="{00000000-0006-0000-0100-00004B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42" authorId="0" shapeId="0" xr:uid="{00000000-0006-0000-0100-00004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43" authorId="0" shapeId="0" xr:uid="{00000000-0006-0000-0100-00004D000000}">
      <text>
        <r>
          <rPr>
            <sz val="11"/>
            <color rgb="FF000000"/>
            <rFont val="Calibri"/>
            <family val="2"/>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43" authorId="0" shapeId="0" xr:uid="{00000000-0006-0000-0100-00004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H44" authorId="0" shapeId="0" xr:uid="{00000000-0006-0000-0100-00004F000000}">
      <text>
        <r>
          <rPr>
            <sz val="11"/>
            <color theme="1"/>
            <rFont val="Calibri"/>
            <family val="2"/>
            <scheme val="minor"/>
          </rPr>
          <t>CE-only demo POV: Release 1 demo should not include F&amp;O or Dual-Write. Demo build should center on D365 Sales/Dataverse, Power Platform, Customer Insights - Journeys or external marketing integration, Power BI, TMS ISV integration, and QuickBooks handoff. F&amp;O should be evaluated during blueprint only if there is a compelling Release 1 business reason.</t>
        </r>
      </text>
    </comment>
    <comment ref="N44" authorId="0" shapeId="0" xr:uid="{00000000-0006-0000-0100-00005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D5" authorId="0" shapeId="0" xr:uid="{00000000-0006-0000-0300-000001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6" authorId="0" shapeId="0" xr:uid="{00000000-0006-0000-0300-00000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7" authorId="0" shapeId="0" xr:uid="{00000000-0006-0000-0300-000003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8" authorId="0" shapeId="0" xr:uid="{00000000-0006-0000-0300-000004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9" authorId="0" shapeId="0" xr:uid="{00000000-0006-0000-0300-000005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0" authorId="0" shapeId="0" xr:uid="{00000000-0006-0000-0300-000006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1" authorId="0" shapeId="0" xr:uid="{00000000-0006-0000-0300-000007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2" authorId="0" shapeId="0" xr:uid="{00000000-0006-0000-0300-000008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3" authorId="0" shapeId="0" xr:uid="{00000000-0006-0000-0300-000009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4" authorId="0" shapeId="0" xr:uid="{00000000-0006-0000-0300-00000A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5" authorId="0" shapeId="0" xr:uid="{00000000-0006-0000-0300-00000B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6" authorId="0" shapeId="0" xr:uid="{00000000-0006-0000-0300-00000C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7" authorId="0" shapeId="0" xr:uid="{00000000-0006-0000-0300-00000D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8" authorId="0" shapeId="0" xr:uid="{00000000-0006-0000-0300-00000E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19" authorId="0" shapeId="0" xr:uid="{00000000-0006-0000-0300-00000F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20" authorId="0" shapeId="0" xr:uid="{00000000-0006-0000-0300-000010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21" authorId="0" shapeId="0" xr:uid="{00000000-0006-0000-0300-000011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 ref="D22" authorId="0" shapeId="0" xr:uid="{00000000-0006-0000-0300-000012000000}">
      <text>
        <r>
          <rPr>
            <sz val="11"/>
            <color theme="1"/>
            <rFont val="Calibri"/>
            <family val="2"/>
            <scheme val="minor"/>
          </rPr>
          <t>Source: HATCH_CRM_OMS_120_Minute_Demo_Script_Vendor.docx; URL: https://twodegrees1.sharepoint.com/:w:/t/HatchforHunger/IQCUtUWwUM_9RK7pMlWrwJIQAUE9RsK2x2IIQ7P5RRKjf7w?email=holson.yap%40slalom.com&amp;e=IYuFkh</t>
        </r>
      </text>
    </comment>
  </commentList>
</comments>
</file>

<file path=xl/sharedStrings.xml><?xml version="1.0" encoding="utf-8"?>
<sst xmlns="http://schemas.openxmlformats.org/spreadsheetml/2006/main" count="704" uniqueCount="461">
  <si>
    <t>HATCH Demo Build POV — CE-Only Release 1</t>
  </si>
  <si>
    <t>Decision</t>
  </si>
  <si>
    <t>Keep F&amp;O out of the demo. Position Release 1 as D365 Sales/Dataverse + Power Platform + Customer Insights - Journeys or external marketing + TMS ISV + QuickBooks + Power BI.</t>
  </si>
  <si>
    <t>Blueprint gate</t>
  </si>
  <si>
    <t>During blueprint, decide whether F&amp;O has a compelling Release 1 business case. If not, proceed with CE-only architecture and keep future ERP integration as a later option.</t>
  </si>
  <si>
    <t>Demo implication</t>
  </si>
  <si>
    <t>Remove active Dual-Write and F&amp;O build assumptions from demo steps; use TMS/ISV integration for freight/shipment events and QuickBooks handoff for Phase 1 finance.</t>
  </si>
  <si>
    <t>Why</t>
  </si>
  <si>
    <t>The RFI and demo script emphasize CRM/OMS ownership of customer, opportunity, quote, customer PO, commercial order, TMS integration, invoice-ready workflow, and reporting.</t>
  </si>
  <si>
    <t>HATCH CRM &amp; OMS Demo Build Tracker</t>
  </si>
  <si>
    <t>Structured tracker for demo build-out, based on the uploaded 120-minute CRM &amp; Order Orchestration vendor demo script.</t>
  </si>
  <si>
    <t>Scenario</t>
  </si>
  <si>
    <t>Scenario timing</t>
  </si>
  <si>
    <t>Expected evidence</t>
  </si>
  <si>
    <t>Step ID</t>
  </si>
  <si>
    <t>Demo step / use case</t>
  </si>
  <si>
    <t>Hero record / link</t>
  </si>
  <si>
    <t>Primary system / role</t>
  </si>
  <si>
    <t>Demo build (CE-only PoV: CE / Power Platform / CI-J / TMS)</t>
  </si>
  <si>
    <t>Build status</t>
  </si>
  <si>
    <t>Priority</t>
  </si>
  <si>
    <t>Owner</t>
  </si>
  <si>
    <t>Source line</t>
  </si>
  <si>
    <t>Notes</t>
  </si>
  <si>
    <t>Introduction and architecture</t>
  </si>
  <si>
    <t>0:00–0:05</t>
  </si>
  <si>
    <t>Proposed modules, user roles, implementation partner, and system role.</t>
  </si>
  <si>
    <t>0.1</t>
  </si>
  <si>
    <t>Orient evaluators to proposed modules, user roles, implementation partner, and system role before entering the scenario flow.</t>
  </si>
  <si>
    <t>Architecture overview / role map</t>
  </si>
  <si>
    <t>Solution architect / vendor lead</t>
  </si>
  <si>
    <t>Architecture/demo shell: position demo as Release 1 CE-first. Show D365 Sales/Dataverse as the customer and commercial-order hub, Power Platform for workflow/pricing/orchestration, CI-J or external marketing attribution, Power BI reporting, TMS ISV integration, and QuickBooks handoff. F&amp;O is not in demo; evaluate in blueprint only if there is a compelling Release 1 business reason.</t>
  </si>
  <si>
    <t>Not started</t>
  </si>
  <si>
    <t>High</t>
  </si>
  <si>
    <t>Agenda</t>
  </si>
  <si>
    <t>Keep corporate overview brief; use this row to capture architecture gaps and named third-party components.</t>
  </si>
  <si>
    <t>Scenario 1 — account, territory, and opportunity</t>
  </si>
  <si>
    <t>0:05–0:20</t>
  </si>
  <si>
    <t>Customer 360, relationship history, funding, health, territory, tasks, and demand opportunity.</t>
  </si>
  <si>
    <t>1.1</t>
  </si>
  <si>
    <t>Open the Central Pennsylvania Food Bank account and show contacts, territory ownership, relationship history, product preferences, funding notes, delivery locations, open orders, and account health.</t>
  </si>
  <si>
    <t>CRM / seller</t>
  </si>
  <si>
    <t>Must have</t>
  </si>
  <si>
    <t>L8</t>
  </si>
  <si>
    <t>1.2</t>
  </si>
  <si>
    <t>Create a new demand opportunity for 18 pallets of large cage-free eggs requested for the following week.</t>
  </si>
  <si>
    <t>L9</t>
  </si>
  <si>
    <t>1.3</t>
  </si>
  <si>
    <t>Capture funding source, probability, expected order date, requested delivery window, next action, product and volume, and food bank capacity.</t>
  </si>
  <si>
    <t>Opportunity detail record</t>
  </si>
  <si>
    <t>L10</t>
  </si>
  <si>
    <t>1.4</t>
  </si>
  <si>
    <t>Assign the opportunity to the Mid-Atlantic territory and demonstrate reassignment or coverage backup without losing history.</t>
  </si>
  <si>
    <t>Territory: Mid-Atlantic / owner assignment</t>
  </si>
  <si>
    <t>CRM / sales manager</t>
  </si>
  <si>
    <t>CE/D365 Sales: configure Territory hierarchy, account/opportunity owner assignment, reassignment demo path, audit/history capture; optional custom effective-dating table if needed.</t>
  </si>
  <si>
    <t>Should have</t>
  </si>
  <si>
    <t>L11</t>
  </si>
  <si>
    <t>1.5</t>
  </si>
  <si>
    <t>Show how email, meeting notes, tasks, and next steps are captured with minimal seller effort.</t>
  </si>
  <si>
    <t>Activity timeline / next best action</t>
  </si>
  <si>
    <t>L12</t>
  </si>
  <si>
    <t>1.6</t>
  </si>
  <si>
    <t>Show pipeline and forecast impact at rep, territory, and organization level.</t>
  </si>
  <si>
    <t>Pipeline dashboard / forecast view</t>
  </si>
  <si>
    <t>CRM + analytics / manager</t>
  </si>
  <si>
    <t>L13</t>
  </si>
  <si>
    <t>Scenario 2 — delivered-price quote</t>
  </si>
  <si>
    <t>0:20–0:45</t>
  </si>
  <si>
    <t>Freight estimate request, pricing formula, margin, approval, versioning, and quote output.</t>
  </si>
  <si>
    <t>2.1</t>
  </si>
  <si>
    <t>From the opportunity, create a delivered-price quote using supplier cost of $1.36 per dozen.</t>
  </si>
  <si>
    <t>Quote: CPFB egg order draft</t>
  </si>
  <si>
    <t>CRM/CPQ / seller</t>
  </si>
  <si>
    <t>L14</t>
  </si>
  <si>
    <t>2.2</t>
  </si>
  <si>
    <t>Request or simulate a real-time freight estimate from the TMS for a consolidated two-stop refrigerated move totaling $1,550.</t>
  </si>
  <si>
    <t>Freight estimate request / response</t>
  </si>
  <si>
    <t>CRM + TMS / seller or logistics</t>
  </si>
  <si>
    <t>L15</t>
  </si>
  <si>
    <t>2.3</t>
  </si>
  <si>
    <t>Allocate freight across 16,200 dozen and add the $0.05 per dozen operating margin.</t>
  </si>
  <si>
    <t>Quote pricing calculation</t>
  </si>
  <si>
    <t>CE/Power Platform: configure freight allocation calculation across 16,200 dozen; add operating margin per dozen. Use Dataverse formula column, plugin, or Power Automate calculation for demo.</t>
  </si>
  <si>
    <t>L16</t>
  </si>
  <si>
    <t>2.4</t>
  </si>
  <si>
    <t>Show calculated delivered price, total order value, margin dollars, and margin percentage.</t>
  </si>
  <si>
    <t>Quote economics / margin view</t>
  </si>
  <si>
    <t>CRM/CPQ + analytics / seller</t>
  </si>
  <si>
    <t>CE/Dataverse + Power BI: expose delivered price, total order value, margin dollars, and margin percentage on quote; optional KPI tile in quote/economics view.</t>
  </si>
  <si>
    <t>L17</t>
  </si>
  <si>
    <t>2.5</t>
  </si>
  <si>
    <t>Trigger an approval because the margin is below a configurable threshold, then approve using a manager role.</t>
  </si>
  <si>
    <t>Quote approval workflow</t>
  </si>
  <si>
    <t>CRM workflow / manager</t>
  </si>
  <si>
    <t>Power Automate + CE approvals: configure margin-threshold approval flow; manager approval task/action; approval status and audit trail on Quote.</t>
  </si>
  <si>
    <t>L18</t>
  </si>
  <si>
    <t>2.6</t>
  </si>
  <si>
    <t>Generate a customer-ready quote and email or log the communication.</t>
  </si>
  <si>
    <t>Customer quote output / email activity</t>
  </si>
  <si>
    <t>CE + Power Automate/Word template: configure customer-ready quote output, email/log activity, and quote communication timeline.</t>
  </si>
  <si>
    <t>L19</t>
  </si>
  <si>
    <t>2.7</t>
  </si>
  <si>
    <t>Revise the quote when the customer changes the split from 10/8 pallets to 12/6 pallets while preserving version history.</t>
  </si>
  <si>
    <t>Quote version history</t>
  </si>
  <si>
    <t>CE Quote revisions: configure revised quote/version history; model customer split change from 10/8 to 12/6 pallets; retain prior version and approval context.</t>
  </si>
  <si>
    <t>L20</t>
  </si>
  <si>
    <t>Scenario 3 — customer PO to commercial order</t>
  </si>
  <si>
    <t>0:45–1:10</t>
  </si>
  <si>
    <t>PO capture, validation, order creation, confirmation, two destinations, tasks, and order status.</t>
  </si>
  <si>
    <t>3.1</t>
  </si>
  <si>
    <t>Capture customer PO CPFB-0726-1842 and validate it against the accepted quote.</t>
  </si>
  <si>
    <t>PO: CPFB-0726-1842</t>
  </si>
  <si>
    <t>CRM/OMS / seller or ops</t>
  </si>
  <si>
    <t>CE/Dataverse: configure PO Receipt table or commercial-order intake section; capture PO CPFB-0726-1842; relate PO to accepted quote; store source and validation status.</t>
  </si>
  <si>
    <t>L21</t>
  </si>
  <si>
    <t>3.2</t>
  </si>
  <si>
    <t>Demonstrate duplicate PO detection, missing-field validation, and unusual quantity or price warnings.</t>
  </si>
  <si>
    <t>PO validation rules / exception flags</t>
  </si>
  <si>
    <t>CRM/OMS / operations</t>
  </si>
  <si>
    <t>CE/Power Platform: configure duplicate PO detection, required-field validations, unusual quantity/price warnings, and exception flag/status.</t>
  </si>
  <si>
    <t>L22</t>
  </si>
  <si>
    <t>3.3</t>
  </si>
  <si>
    <t>Create the commercial order without rekeying quote data.</t>
  </si>
  <si>
    <t>Commercial order generated from quote</t>
  </si>
  <si>
    <t>L23</t>
  </si>
  <si>
    <t>3.4</t>
  </si>
  <si>
    <t>Show two delivery destinations or split-order structure while preserving one customer-facing commercial relationship.</t>
  </si>
  <si>
    <t>Order destinations: Harrisburg and Chester County</t>
  </si>
  <si>
    <t>L24</t>
  </si>
  <si>
    <t>3.5</t>
  </si>
  <si>
    <t>Generate customer order confirmation and internal tasks for supply confirmation, transportation release, and finance visibility.</t>
  </si>
  <si>
    <t>Order confirmation + task list</t>
  </si>
  <si>
    <t>CRM/OMS workflow / seller + ops</t>
  </si>
  <si>
    <t>Power Automate + CE: generate customer order confirmation and internal tasks for supply confirmation, transportation release, and finance visibility.</t>
  </si>
  <si>
    <t>L25</t>
  </si>
  <si>
    <t>3.6</t>
  </si>
  <si>
    <t>Demonstrate order changes, cancellation, approval, and audit history.</t>
  </si>
  <si>
    <t>Order audit trail</t>
  </si>
  <si>
    <t>CRM/OMS / operations manager</t>
  </si>
  <si>
    <t>CE auditing + Power Platform: configure order change/cancel approval path; enable Dataverse audit history for price, quantity, PO, order status, and approval changes.</t>
  </si>
  <si>
    <t>L26</t>
  </si>
  <si>
    <t>3.7</t>
  </si>
  <si>
    <t>Show a cross-functional order dashboard with pending, active, exception, delivered, and invoice-ready statuses.</t>
  </si>
  <si>
    <t>Order dashboard</t>
  </si>
  <si>
    <t>CRM/OMS + analytics / cross-functional</t>
  </si>
  <si>
    <t>Power BI + CE views: build cross-functional order dashboard with pending, active, exception, delivered, and invoice-ready statuses; use Commercial Order, Order Destination, Shipment Event, and Exception records in Dataverse.</t>
  </si>
  <si>
    <t>L27</t>
  </si>
  <si>
    <t>Scenario 4 — execution and exception</t>
  </si>
  <si>
    <t>1:10–1:30</t>
  </si>
  <si>
    <t>TMS handoff, status, delay alert, customer communication, POD, shortage/rejection, and invoice-ready status.</t>
  </si>
  <si>
    <t>4.1</t>
  </si>
  <si>
    <t>Release the order to the TMS with origin, destinations, product, quantity, temperature, dates, references, and special instructions.</t>
  </si>
  <si>
    <t>TMS release payload / shipment request</t>
  </si>
  <si>
    <t>CRM/OMS + TMS / operations</t>
  </si>
  <si>
    <t>L28</t>
  </si>
  <si>
    <t>4.2</t>
  </si>
  <si>
    <t>Receive shipment ID, carrier, booked cost, pickup status, ETA, and tracking events back into the customer order.</t>
  </si>
  <si>
    <t>Shipment status on order</t>
  </si>
  <si>
    <t>TMS + CRM/OMS / logistics</t>
  </si>
  <si>
    <t>TMS ISV + Dataverse Shipment Event table: configure shipment ID, carrier, booked cost, pickup status, ETA, and tracking events returned to the customer order through event/API integration.</t>
  </si>
  <si>
    <t>L29</t>
  </si>
  <si>
    <t>4.3</t>
  </si>
  <si>
    <t>Process a four-hour delay event and show alert routing, internal ownership, customer communication, and timeline history.</t>
  </si>
  <si>
    <t>Delay exception: revised ETA</t>
  </si>
  <si>
    <t>TMS + CRM workflow / logistics + seller</t>
  </si>
  <si>
    <t>Power Automate + CE/TMS eventing: configure delay exception event, alert routing, owner assignment, customer communication task/email, and timeline history.</t>
  </si>
  <si>
    <t>L30</t>
  </si>
  <si>
    <t>4.4</t>
  </si>
  <si>
    <t>Receive POD and delivery details showing 17 pallets delivered and one pallet rejected for damage.</t>
  </si>
  <si>
    <t>POD / delivery variance record</t>
  </si>
  <si>
    <t>TMS + CRM/OMS / operations</t>
  </si>
  <si>
    <t>TMS/visibility ISV + CE/Dataverse: configure POD/delivery event record; store delivered/rejected pallet quantities and damage reason; link POD document to Commercial Order/Shipment Event.</t>
  </si>
  <si>
    <t>L31</t>
  </si>
  <si>
    <t>4.5</t>
  </si>
  <si>
    <t>Launch a quantity-variance exception workflow and revise invoice-ready quantity while preserving original order and shipment data.</t>
  </si>
  <si>
    <t>Quantity variance workflow</t>
  </si>
  <si>
    <t>CRM/OMS workflow / operations + finance</t>
  </si>
  <si>
    <t>L32</t>
  </si>
  <si>
    <t>4.6</t>
  </si>
  <si>
    <t>Link POD and exception documents to the order and demonstrate the invoice-ready handoff to QuickBooks.</t>
  </si>
  <si>
    <t>Invoice-ready handoff / document links</t>
  </si>
  <si>
    <t>CRM/OMS + finance integration / finance</t>
  </si>
  <si>
    <t>CE + Power Platform + QuickBooks handoff: configure invoice-ready flag/handoff after POD and variance review; link exception/POD documents; demo Phase 1 finance handoff without F&amp;O.</t>
  </si>
  <si>
    <t>L33</t>
  </si>
  <si>
    <t>4.7</t>
  </si>
  <si>
    <t>Show what the seller, operations user, and finance user each see.</t>
  </si>
  <si>
    <t>Role-based views</t>
  </si>
  <si>
    <t>CRM/OMS + TMS + QuickBooks/finance / all roles</t>
  </si>
  <si>
    <t>CE security roles + TMS/QuickBooks/Power BI views: configure role-based experiences for seller, operations, and finance; show only relevant rows, dashboards, and actions per role.</t>
  </si>
  <si>
    <t>L34</t>
  </si>
  <si>
    <t>Scenario 5 — marketing, reporting, and administration</t>
  </si>
  <si>
    <t>1:30–1:40</t>
  </si>
  <si>
    <t>Campaign source, account health, dashboards, workflow configuration, permissions, and audit history.</t>
  </si>
  <si>
    <t>5.1</t>
  </si>
  <si>
    <t>Show how a marketing campaign or lead source can be connected to the account, opportunity, and resulting order through integration with HubSpot or another marketing platform.</t>
  </si>
  <si>
    <t>Campaign / lead-source attribution</t>
  </si>
  <si>
    <t>Marketing integration + CRM / admin</t>
  </si>
  <si>
    <t>Customer Insights - Journeys or external/HubSpot mock + CE: configure campaign/lead-source attribution to account, opportunity, and resulting order; keep external option noted if CI-J is not in Release 1 scope.</t>
  </si>
  <si>
    <t>Could have</t>
  </si>
  <si>
    <t>L35</t>
  </si>
  <si>
    <t>5.2</t>
  </si>
  <si>
    <t>Show dashboards for pipeline, forecast, account health, quote conversion, open orders, order exceptions, margin, and user adoption.</t>
  </si>
  <si>
    <t>Executive / operating dashboards</t>
  </si>
  <si>
    <t>Analytics / leadership</t>
  </si>
  <si>
    <t>L36</t>
  </si>
  <si>
    <t>5.3</t>
  </si>
  <si>
    <t>Demonstrate configurable alert or workflow changes by a trained business administrator without custom code.</t>
  </si>
  <si>
    <t>Workflow configuration screen</t>
  </si>
  <si>
    <t>CRM/low-code admin / business admin</t>
  </si>
  <si>
    <t>L37</t>
  </si>
  <si>
    <t>5.4</t>
  </si>
  <si>
    <t>Show role-based permissions by territory and function, and audit history for changes to price, quantity, margin, PO, and order status.</t>
  </si>
  <si>
    <t>Security role / audit history</t>
  </si>
  <si>
    <t>CRM/OMS admin / admin</t>
  </si>
  <si>
    <t>CE/Dataverse security + audit: configure territory/function-based roles; enable audit history for price, quantity, margin, PO, and order status changes.</t>
  </si>
  <si>
    <t>L38</t>
  </si>
  <si>
    <t>5.5</t>
  </si>
  <si>
    <t>Demonstrate data export, API access, or Power BI connectivity.</t>
  </si>
  <si>
    <t>Export/API/Power BI connection</t>
  </si>
  <si>
    <t>CRM/OMS + analytics / admin</t>
  </si>
  <si>
    <t>Dataverse API/export + Power BI: configure sample export/API endpoint/view and Power BI connection; optionally show integration monitoring table/dashboard.</t>
  </si>
  <si>
    <t>L39</t>
  </si>
  <si>
    <t>Implementation and support</t>
  </si>
  <si>
    <t>1:40–1:55</t>
  </si>
  <si>
    <t>Plan, team, HATCH effort, data migration, training, support, and risks.</t>
  </si>
  <si>
    <t>6.1</t>
  </si>
  <si>
    <t>Walk through implementation plan, milestones, governance, risks, and dependencies.</t>
  </si>
  <si>
    <t>Implementation plan</t>
  </si>
  <si>
    <t>Implementation lead</t>
  </si>
  <si>
    <t>Implementation planning artifact: create phased Release 1 plan by CE, Power Platform, CI-J/external marketing, TMS integration, Power BI, data migration, QuickBooks handoff, and security workstreams. Include blueprint decision gate for optional F&amp;O only if compelling Release 1 business case emerges.</t>
  </si>
  <si>
    <t>6.2</t>
  </si>
  <si>
    <t>Identify vendor implementation team roles and expected HATCH effort by workstream.</t>
  </si>
  <si>
    <t>Team / RACI view</t>
  </si>
  <si>
    <t>RACI/workstream tracker: define owners for CE configuration, Power Platform flows, CI-J/marketing integration, TMS integration, Power BI, data migration, security, demo data, and QuickBooks handoff.</t>
  </si>
  <si>
    <t>6.3</t>
  </si>
  <si>
    <t>Explain data migration approach for accounts, contacts, orders, notes, files, and finance handoff data.</t>
  </si>
  <si>
    <t>Migration plan</t>
  </si>
  <si>
    <t>Data lead</t>
  </si>
  <si>
    <t>Data migration prep: create source-to-target mapping for accounts, contacts, delivery locations, products, quotes/orders, shipment references, documents, and finance handoff fields.</t>
  </si>
  <si>
    <t>6.4</t>
  </si>
  <si>
    <t>Describe training approach for sellers, operations, finance, and administrators.</t>
  </si>
  <si>
    <t>Training plan</t>
  </si>
  <si>
    <t>Change lead</t>
  </si>
  <si>
    <t>Training/change plan: create role-based training outline for seller, operations, finance, and admin demo roles; map each training persona to tracker steps.</t>
  </si>
  <si>
    <t>6.5</t>
  </si>
  <si>
    <t>Describe post-go-live support model, SLAs, release management, and escalation.</t>
  </si>
  <si>
    <t>Support model</t>
  </si>
  <si>
    <t>Support lead</t>
  </si>
  <si>
    <t>Support model: define post-go-live support demo artifact including integration monitoring, Power Platform flow ownership, CE release management, TMS escalation, QuickBooks handoff issues, and business-admin ownership.</t>
  </si>
  <si>
    <t>6.6</t>
  </si>
  <si>
    <t>Call out custom development, third-party dependencies, roadmap capabilities, and known constraints.</t>
  </si>
  <si>
    <t>Risk / dependency log</t>
  </si>
  <si>
    <t>Solution architect</t>
  </si>
  <si>
    <t>Risk/dependency log: document CE-only Release 1 assumption; F&amp;O excluded from demo and deferred to blueprint decision gate. Track TMS ISV selection, QuickBooks handoff, CI-J/marketing attribution, custom Dataverse tables, and API/event integration dependencies.</t>
  </si>
  <si>
    <t>Evaluator questions</t>
  </si>
  <si>
    <t>1:55–2:00</t>
  </si>
  <si>
    <t>Targeted follow-ups and unresolved requirements.</t>
  </si>
  <si>
    <t>7.1</t>
  </si>
  <si>
    <t>Capture targeted follow-ups and unresolved requirements after the demo.</t>
  </si>
  <si>
    <t>Open question log</t>
  </si>
  <si>
    <t>Evaluator team</t>
  </si>
  <si>
    <t>Open-question log: configure tracker tab/list for vendor follow-ups, unresolved requirements, demo gaps, build decisions, blueprint F&amp;O decision, and next validation owner.</t>
  </si>
  <si>
    <t>Agenda Summary</t>
  </si>
  <si>
    <t>Scenario timing, segment evidence, and build target counts.</t>
  </si>
  <si>
    <t>Segment</t>
  </si>
  <si>
    <t>Timing</t>
  </si>
  <si>
    <t>Build steps</t>
  </si>
  <si>
    <t>Hero Records and Sample Data</t>
  </si>
  <si>
    <t>Core records and sample values to pre-build or mock for the demo environment.</t>
  </si>
  <si>
    <t>Record / object</t>
  </si>
  <si>
    <t>Sample value</t>
  </si>
  <si>
    <t>Usage</t>
  </si>
  <si>
    <t>Source</t>
  </si>
  <si>
    <t>Account</t>
  </si>
  <si>
    <t>Central Pennsylvania Food Bank</t>
  </si>
  <si>
    <t>Scenario 1 account/customer 360</t>
  </si>
  <si>
    <t>Demo actors and sample data</t>
  </si>
  <si>
    <t>Primary contact</t>
  </si>
  <si>
    <t>Jordan Lee, Director of Procurement</t>
  </si>
  <si>
    <t>Contact and relationship history</t>
  </si>
  <si>
    <t>Territory / owner</t>
  </si>
  <si>
    <t>Mid-Atlantic / Whitney Murphy</t>
  </si>
  <si>
    <t>Territory ownership / assignment</t>
  </si>
  <si>
    <t>Funding context</t>
  </si>
  <si>
    <t>Pennsylvania PASS eligible; current-year funding expires June 30</t>
  </si>
  <si>
    <t>Funding and capacity context</t>
  </si>
  <si>
    <t>Product</t>
  </si>
  <si>
    <t>Large cage-free eggs</t>
  </si>
  <si>
    <t>Opportunity, quote, order, shipment</t>
  </si>
  <si>
    <t>Requested quantity</t>
  </si>
  <si>
    <t>18 pallets / 16,200 dozen</t>
  </si>
  <si>
    <t>Opportunity and quote quantity</t>
  </si>
  <si>
    <t>Supplier cost</t>
  </si>
  <si>
    <t>$1.36 per dozen</t>
  </si>
  <si>
    <t>Quote pricing input</t>
  </si>
  <si>
    <t>Operating margin target</t>
  </si>
  <si>
    <t>$0.05 per dozen</t>
  </si>
  <si>
    <t>Origin</t>
  </si>
  <si>
    <t>Lancaster, Pennsylvania</t>
  </si>
  <si>
    <t>TMS release origin</t>
  </si>
  <si>
    <t>Destination 1</t>
  </si>
  <si>
    <t>Harrisburg, Pennsylvania — 12 pallets</t>
  </si>
  <si>
    <t>Split delivery destination</t>
  </si>
  <si>
    <t>Destination 2</t>
  </si>
  <si>
    <t>Chester County, Pennsylvania — 6 pallets</t>
  </si>
  <si>
    <t>Delivery window</t>
  </si>
  <si>
    <t>Tuesday, 8:00 AM–2:00 PM</t>
  </si>
  <si>
    <t>Order scheduling</t>
  </si>
  <si>
    <t>TMS freight estimate</t>
  </si>
  <si>
    <t>$1,550 consolidated refrigerated full truckload</t>
  </si>
  <si>
    <t>Freight estimate and quote math</t>
  </si>
  <si>
    <t>Temperature requirement</t>
  </si>
  <si>
    <t>Refrigerated; configurable handling instructions</t>
  </si>
  <si>
    <t>Order/TMS special instructions</t>
  </si>
  <si>
    <t>Customer PO</t>
  </si>
  <si>
    <t>CPFB-0726-1842</t>
  </si>
  <si>
    <t>PO validation and order creation</t>
  </si>
  <si>
    <t>Execution exception</t>
  </si>
  <si>
    <t>Carrier reports a four-hour delay and revised ETA</t>
  </si>
  <si>
    <t>Scenario 4 exception event</t>
  </si>
  <si>
    <t>Delivery outcome</t>
  </si>
  <si>
    <t>17 pallets delivered; one pallet rejected for damage</t>
  </si>
  <si>
    <t>POD and quantity variance workflow</t>
  </si>
  <si>
    <t>Finance handoff</t>
  </si>
  <si>
    <t>Invoice-ready after POD and quantity variance review</t>
  </si>
  <si>
    <t>QuickBooks handoff evidence</t>
  </si>
  <si>
    <t>Build Status Summary</t>
  </si>
  <si>
    <t>Simple rollup formulas for tracking readiness by status and scenario.</t>
  </si>
  <si>
    <t>Status</t>
  </si>
  <si>
    <t>Count</t>
  </si>
  <si>
    <t>In build</t>
  </si>
  <si>
    <t>Ready for dry run</t>
  </si>
  <si>
    <t>Validated</t>
  </si>
  <si>
    <t>Gap/Risk</t>
  </si>
  <si>
    <t>Out of scope</t>
  </si>
  <si>
    <t>Total steps</t>
  </si>
  <si>
    <t>Scoring Weights</t>
  </si>
  <si>
    <t>Scoring categories included in the uploaded vendor demo script.</t>
  </si>
  <si>
    <t>Category</t>
  </si>
  <si>
    <t>Weight</t>
  </si>
  <si>
    <t>Evaluator scoring notes</t>
  </si>
  <si>
    <t>Scenario 1</t>
  </si>
  <si>
    <t>Scenario 2</t>
  </si>
  <si>
    <t>Scenario 3</t>
  </si>
  <si>
    <t>Scenario 4</t>
  </si>
  <si>
    <t>Scenario 5</t>
  </si>
  <si>
    <t>Usability and workflow efficiency</t>
  </si>
  <si>
    <t>Overall fit</t>
  </si>
  <si>
    <t>Source Notes</t>
  </si>
  <si>
    <t>Workbook provenance and usage notes.</t>
  </si>
  <si>
    <t>Field</t>
  </si>
  <si>
    <t>Value</t>
  </si>
  <si>
    <t>Source document</t>
  </si>
  <si>
    <t>HATCH_CRM_OMS_120_Minute_Demo_Script_Vendor.docx</t>
  </si>
  <si>
    <t>Source URL</t>
  </si>
  <si>
    <t>https://twodegrees1.sharepoint.com/:w:/t/HatchforHunger/IQCUtUWwUM_9RK7pMlWrwJIQAUE9RsK2x2IIQ7P5RRKjf7w?email=holson.yap%40slalom.com&amp;e=IYuFkh</t>
  </si>
  <si>
    <t>How to use</t>
  </si>
  <si>
    <t>Use Demo Build Tracker as the build backlog; assign owners, update status, and link hero records or screenshots.</t>
  </si>
  <si>
    <t>Status definitions</t>
  </si>
  <si>
    <t>Not started, In build, Ready for dry run, Validated, Gap/Risk, Out of scope.</t>
  </si>
  <si>
    <t>Workbook note</t>
  </si>
  <si>
    <t>Use case wording is normalized into build-tracker language while preserving the uploaded script steps.</t>
  </si>
  <si>
    <t>Added column</t>
  </si>
  <si>
    <t>Demo build column added from an opinionated CE / CI-J / F&amp;O / Power Platform build lens based on the Option 1 D365 solution hypothesis.</t>
  </si>
  <si>
    <t>CE-only update</t>
  </si>
  <si>
    <t>Demo build guidance updated to remove active F&amp;O/Dual-Write scope from Release 1 demo. Blueprint phase should determine whether a compelling business reason exists to inject F&amp;O in Release 1; otherwise demo POV remains CE + Power Platform + CI-J/external marketing + TMS ISV + QuickBooks + Power BI.</t>
  </si>
  <si>
    <t>Demo Build Lens — CE-Only Release 1 POV</t>
  </si>
  <si>
    <t>Demo scope: D365 Sales/Dataverse + Power Platform + CI-J or external marketing + TMS ISV + QuickBooks + Power BI. F&amp;O is not included in demo; evaluate during blueprint only if a compelling Release 1 business case exists.</t>
  </si>
  <si>
    <t>Layer</t>
  </si>
  <si>
    <t>Likely demo build</t>
  </si>
  <si>
    <t>Example tracker rows</t>
  </si>
  <si>
    <t>Build stance</t>
  </si>
  <si>
    <t>Risk / decision</t>
  </si>
  <si>
    <t>Source basis</t>
  </si>
  <si>
    <t>D365 CE / Sales / Dataverse</t>
  </si>
  <si>
    <t>Accounts, contacts, territories, opportunities, quotes, customer PO, commercial order, order destinations, shipment/event shadow records, exception records, audit, and security.</t>
  </si>
  <si>
    <t>1.1-1.6, 2.1, 2.4, 2.7, 3.1-3.7, 4.2, 4.4-4.7, 5.4</t>
  </si>
  <si>
    <t>Configure + custom Dataverse tables</t>
  </si>
  <si>
    <t>Keep the customer-facing commercial order in Dataverse; avoid introducing F&amp;O as a duplicate order master in the demo.</t>
  </si>
  <si>
    <t>RFI and demo script center CRM/OMS on customer, quote, PO, commercial order, status, and exceptions.</t>
  </si>
  <si>
    <t>Power Platform</t>
  </si>
  <si>
    <t>Approvals, PO validation, duplicate detection, task generation, freight estimate mock/API flow, shipment event routing, exception workflow, invoice-ready flag, admin workflow change.</t>
  </si>
  <si>
    <t>2.2, 2.3, 2.5, 3.2, 3.5, 4.1-4.6, 5.3</t>
  </si>
  <si>
    <t>Low-code orchestration + integration</t>
  </si>
  <si>
    <t>Make workflows visible and easy to explain; avoid hiding core proof points in F&amp;O or custom backend logic.</t>
  </si>
  <si>
    <t>Demo script requires freight estimate, pricing formula, margin approval, order workflows, alerts, and invoice-ready handoff.</t>
  </si>
  <si>
    <t>Customer Insights - Journeys / external marketing</t>
  </si>
  <si>
    <t>Campaign/lead-source attribution linked to account, opportunity, and resulting order; may be mocked if HubSpot or another tool remains external.</t>
  </si>
  <si>
    <t>Optional configuration / mock</t>
  </si>
  <si>
    <t>Marketing ownership is open; keep this lightweight unless it is a key evaluation concern.</t>
  </si>
  <si>
    <t>RFI references marketing integration and attribution; demo script includes campaign/lead source scenario.</t>
  </si>
  <si>
    <t>TMS ISV / visibility integration</t>
  </si>
  <si>
    <t>Freight estimates, shipment creation, carrier status, ETA, delay events, POD, delivery variance, and transportation cost events returned to Dataverse.</t>
  </si>
  <si>
    <t>2.2, 4.1-4.6</t>
  </si>
  <si>
    <t>ISV/API mock for demo</t>
  </si>
  <si>
    <t>TMS is the execution system; CE shows status and exceptions but does not become the TMS.</t>
  </si>
  <si>
    <t>RFI and requirements identify TMS as transportation execution layer and integration source for freight estimates/events.</t>
  </si>
  <si>
    <t>QuickBooks / finance handoff</t>
  </si>
  <si>
    <t>Invoice-ready handoff after POD and variance review; QuickBooks remains Phase 1 accounting platform.</t>
  </si>
  <si>
    <t>4.6, implementation rows</t>
  </si>
  <si>
    <t>Integration handoff / mock</t>
  </si>
  <si>
    <t>Do not demonstrate F&amp;O finance unless blueprint creates a Release 1 business case.</t>
  </si>
  <si>
    <t>RFI describes QuickBooks Phase 1 and future ERP readiness later.</t>
  </si>
  <si>
    <t>Power BI</t>
  </si>
  <si>
    <t>Pipeline, forecast, account health, quote conversion, open orders, exceptions, margin, adoption, and invoice-ready reporting.</t>
  </si>
  <si>
    <t>1.6, 3.7, 5.2</t>
  </si>
  <si>
    <t>Dashboards from Dataverse + TMS events + QuickBooks handoff data</t>
  </si>
  <si>
    <t>Dashboards should validate the operating model, not become a separate build project.</t>
  </si>
  <si>
    <t>RFI and demo script require reporting across pipeline, orders, exceptions, and adoption.</t>
  </si>
  <si>
    <t>F&amp;O decision gate</t>
  </si>
  <si>
    <t>Not in demo. During blueprint, test whether Release 1 needs F&amp;O for customer/product master, AR subledger, sales order shadowing, or future ERP acceleration.</t>
  </si>
  <si>
    <t>0.1, 6.1, 6.6, 7.1</t>
  </si>
  <si>
    <t>Blueprint decision only</t>
  </si>
  <si>
    <t>Only inject F&amp;O in Release 1 if the business case outweighs implementation weight and duplicate-order complexity.</t>
  </si>
  <si>
    <t>User POV and CE-first architecture indicate Release 1 demo should stay CE/Power Platform/CI-J/TMS/QuickBooks unless blueprint proves otherwise.</t>
  </si>
  <si>
    <t>CE/Dataverse: configure Account table for food bank profile; related Contacts; Customeraddress (OOB Address child table + location types for HATCH); product preferences fields; funding notes; account health fields; activity timeline. Power BI: optional account health tile.
Sales insights for relationship health (And connectivity back tO leads/opps)</t>
  </si>
  <si>
    <t>CE/Dataverse + Power Platform: configure Funding Program/Profile table or fields (Choice field, simpler); PASS eligibility, fiscal/funding expiration, probability, expected order date, next action, product/volume, and capacity fields/validation.</t>
  </si>
  <si>
    <t>Questions for Molly</t>
  </si>
  <si>
    <t>CE + Microsoft 365 integration (Copilot in Sales/sales copilot): configure activity timeline, tasks, notes, email/meeting capture, seller next-step view; optionally use Copilot/Power Automate to reduce seller effort.</t>
  </si>
  <si>
    <t>Power BI + CE views: build pipeline/forecast report by rep, territory, and org; connect to Dataverse opportunity data and account/territory dimensions.
OOB dashboard and PowerBI
Sophia/research agent</t>
  </si>
  <si>
    <t>Power Platform + TMS ISV integration/mock: create freight-estimate request/response flow for consolidated two-stop refrigerated load; store freight estimate, source, confidence/status, and timestamp on the Quote. No F&amp;O dependency in demo.
Fake flow or JS API call that updates the quote (TBD on freight being its own line or an attribute of each quote line)</t>
  </si>
  <si>
    <t xml:space="preserve">walk through with Molly
</t>
  </si>
  <si>
    <t>CE/D365 Sales: configure Opportunity form/view for HATCH demand capture; add product, requested pallets, dozen quantity, requested delivery week/window, food bank capacity, and funding context fields.
Configure product master, units (pallets), use opportunity products so that they flow to quotes</t>
  </si>
  <si>
    <t>CE/D365 Sales: configure Quote and Quote Line forms for delivered price; carry opportunity context; add supplier cost per dozen and HATCH product fields.
Create quote from opp 
need to add supplier cost to opp products and quote lines and order lines I guess</t>
  </si>
  <si>
    <t xml:space="preserve">what does 10/8 12/6 pallets mean, quote versions with different splits
</t>
  </si>
  <si>
    <t>CE/Dataverse: configure Commercial Order table/process created from accepted quote + PO without rekeying; copy quote/customer/product/pricing fields; assign order status.
Use OOB order and extend, and leverage the OOB movement from quote to product</t>
  </si>
  <si>
    <t>CE/Dataverse: configure Order Destination/Stop child table; support two destinations under one customer-facing Commercial Order; include pallets, delivery window, contacts, and handling instructions.
Shipping slip custom table associated with the lines</t>
  </si>
  <si>
    <t>CE/Dataverse + Power Platform + TMS ISV integration: configure order release payload; map origin, destinations, product, quantity, temperature, dates, references, and special instructions; use API/mock integration to TMS. No Dual-Write/F&amp;O in demo.
Stub out as flow or JS to call TMS passing details from CRM</t>
  </si>
  <si>
    <t xml:space="preserve">CE/Power Platform: configure quantity-variance exception workflow; revise invoice-ready quantity while preserving original order and shipment data in audit/history.
</t>
  </si>
  <si>
    <t>Power BI: build executive/operating dashboards for pipeline, forecast, account health, quote conversion, open orders, exceptions, margin, and user adoption over Dataverse + TMS events + QuickBooks handoff data.
Sales Research</t>
  </si>
  <si>
    <t>Power Platform admin: configure example low-code workflow/alert threshold change by business admin; show environment solution component, flow, or Dataverse choice/threshold table.
Flow changes ? BPF revisions/versions</t>
  </si>
  <si>
    <t>Remaining Build items</t>
  </si>
  <si>
    <t>https://generaldemosl.crm.dynamics.com/main.aspx?appid=cdda307e-2b91-f111-b8da-000d3a340666&amp;forceUCI=1&amp;pagetype=entityrecord&amp;etn=account&amp;id=669ddb12-ba91-f111-b8dc-000d3a340c29</t>
  </si>
  <si>
    <t>https://generaldemosl.crm.dynamics.com/main.aspx?appid=cdda307e-2b91-f111-b8da-000d3a340666&amp;forceUCI=1&amp;pagetype=entityrecord&amp;etn=opportunity&amp;id=395ca505-faf0-4044-a93f-3e24d92d625e</t>
  </si>
  <si>
    <t>HATCH Opp form
custom fields/relationships, etc.
Tasks, notes, activities, emails</t>
  </si>
  <si>
    <t xml:space="preserve">Drop ship related fields and option set values </t>
  </si>
  <si>
    <t>* Definition of account health (A: account rel - recent orders, age of account, # of opps)
* territory ownership - is that in context of sales? E.g. territory leader (account owner's territory, 1:N territory:sellers for now)
* relationship history - is this just activity management?
* product preferences - is that free form or related to a particular product (e.g. eggs) -A: 80% eggs, 20% others. Visibility into prev. orders
* funding notes - free form, funding cycles/timing (qtr, etc)
* delivery loc: different delivery locations
• contacts :e .g. purchasing manager (show the title/role in the grid), talk track: ability to track different roles/FTE-contractor relationship</t>
  </si>
  <si>
    <t>Update other accounts to be food banks and vendors (farms)
Add contacts, addresses, activities/notes, etc. to Central Penn Food bank
Clean form for demo (make it simple as possible)</t>
  </si>
  <si>
    <t>can we assume an opp can be for multiple products  (OOB behavior)
A: Not for now - assume eggs or other proteins (due to drop ship model)
NOTE: they do warehouse non eggs , opps are called "pre-orders" in current world. RENAME Opps as Pre-Orders
* Egg Opps typically just for one type but perhaps for the future it can be different types (E.g. organic, cage free etc.)
* today just chicken eggs</t>
  </si>
  <si>
    <t xml:space="preserve">what is expected order date, expected delivery date?
Next actions in terms of fulfilment or in terms of opp pursuit 
assuming product, volume are opportunity products
what is foodbank capacity, is that just an attribute of account?
* funding source: free form
* expected order date: ship date
* requested delivery date
* food bank capacity - e.g. can only accept 2 pallets at a time (free text )
* next action: re: opp (e.g. demand identified, ..., order created,...)
</t>
  </si>
  <si>
    <t>is the intent just to show that we can reassign to others in a territory and they can view all the opp info?
* assign to person show their territory</t>
  </si>
  <si>
    <t>do we want to leverage some AI here (e.g. summarization of raw meeting notes into activity or note)
* stick with standard AI functionalities for now - show AI stuff in the context of simple workflow (in this case ease of capturing notes, tasks, etc.) - rest fancy agents first party and custom just mention as talk tracks - dont over AI the demo</t>
  </si>
  <si>
    <t xml:space="preserve">
can we showcase Sophia here? (e.g. sales researcher, research agent)
* copilot some foodbank food nfp specific pipeline management KPIs
* Molly has some dashboards she can share with us</t>
  </si>
  <si>
    <t>how does selection work (for drop shipping) [for vendors] - A: every week procurement works with the vendors (farms) to understand the economics (supply price, quantities) - e.g. Penn needs 2 pallets, nearby farm has two &gt; that’s the vendor - it's all manual right now</t>
  </si>
  <si>
    <t>walk through with Molly
approvals - margin related, for the demo use emails - talk track: other channels of approvals eg teams</t>
  </si>
  <si>
    <t xml:space="preserve">walk through with Molly
what is 16,200? Is that 16 pallets of 200 dozens?
1 pallet: x dozens of eggs, 16,200 ~12 pallets
freight is allocated across the products pricing
</t>
  </si>
  <si>
    <t>how does a quote &gt; order &gt; to ultimately the PO for the customer
Order &gt; Invoice table OOB</t>
  </si>
  <si>
    <t>unusual quantity - rules based</t>
  </si>
  <si>
    <t>e.g. picking up from farm A, 20 pallets, 10 to foodbank A, 10 to food bank B, two purchases but one order</t>
  </si>
  <si>
    <t>transportation visibility - TMS statuses, etc. (order in transit, delayed, est delivery)
finance visibility - reporting</t>
  </si>
  <si>
    <t>Discussion with Molly/Serena - do we want to do a live integration mock up or just setup pre-populated records? A: do a stub mockup integration 
Temperature: for the broker, does the van need to stay at x*F (product requirement)</t>
  </si>
  <si>
    <t>is this a delay event in the outbound transportation or is this a delay event (after 4 hours do something) - if the latter we can showcase sales sequence. A: basically status updates</t>
  </si>
  <si>
    <t>can we assume this is another integration event from TMS back to CRM?
Who handles the quality check, rejection, disposal, etc. TMS or CRM?
POD - Proof of Delivery (e.g. carrier upload PO to TMS, back to CRM, close to order and reflect actual status of the delivery)</t>
  </si>
  <si>
    <t>walk through with Molly - e.g. is this a scenario 4.4 wher eonly 17 were sent and drop shipped hence 1 invoice for 17 is generated and a report shows open orders and remaining qtys
who owns what here (TMS own the fact that 17 got delivered? 17 from TMS goes back to CRM? Who creates invoices
A: If order was for 18, 17 delivered, then close the order, invoice just for 17.</t>
  </si>
  <si>
    <t xml:space="preserve">What is a POD - Proof of Delivery
Again how much do we want to stub out or demo the integration to Quickbooks - A: mock up of CRM sending payload of the approved invoice (*e.g. 17 pallets)
</t>
  </si>
  <si>
    <t xml:space="preserve">Confirm OK to demo CI-J - A: Demo CI-J - showcase E2E
CI-J demo notes - keep it simple
* Segments
* Journeys
* opt in opt out
Keep the marketing workflows demo light
THE VALUE ADD - marketing - sales connectivity, large volumes email handling </t>
  </si>
  <si>
    <t>A: standard OOB BI capabilities, incl. PowerBI embedded capabilities</t>
  </si>
  <si>
    <t>* Talk about MSFT Elevate pricing, etc.</t>
  </si>
  <si>
    <t>Basic form, workflow changes, managing products, variables</t>
  </si>
  <si>
    <t xml:space="preserve">Serena (on behalf of MSFT, Elevate)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</si>
</sst>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FFFFFF"/>
      <name val="Aptos Display"/>
    </font>
    <font>
      <i/>
      <sz val="11"/>
      <color rgb="FF1F2937"/>
      <name val="Aptos"/>
    </font>
    <font>
      <b/>
      <sz val="11"/>
      <color rgb="FFFFFFFF"/>
      <name val="Aptos"/>
    </font>
    <font>
      <sz val="10"/>
      <color rgb="FF1F2937"/>
      <name val="Aptos"/>
    </font>
    <font>
      <sz val="12"/>
      <color theme="10"/>
      <name val="Calibri"/>
      <family val="2"/>
      <scheme val="minor"/>
    </font>
    <font>
      <b/>
      <sz val="11"/>
      <color rgb="FF1F2937"/>
      <name val="Aptos"/>
    </font>
    <font>
      <sz val="11"/>
      <color rgb="FF1F2937"/>
      <name val="Aptos"/>
    </font>
    <font>
      <sz val="11"/>
      <color rgb="FF000000"/>
      <name val="Calibri"/>
      <family val="2"/>
    </font>
  </fonts>
  <fills count="11">
    <fill>
      <patternFill patternType="none"/>
    </fill>
    <fill>
      <patternFill patternType="gray125"/>
    </fill>
    <fill>
      <patternFill patternType="solid">
        <fgColor rgb="FFFFF2CC"/>
      </patternFill>
    </fill>
    <fill>
      <patternFill patternType="solid">
        <fgColor rgb="FFEAF3F8"/>
      </patternFill>
    </fill>
    <fill>
      <patternFill patternType="solid">
        <fgColor rgb="FFE2F0D9"/>
      </patternFill>
    </fill>
    <fill>
      <patternFill patternType="solid">
        <fgColor rgb="FFFCE4D6"/>
      </patternFill>
    </fill>
    <fill>
      <patternFill patternType="solid">
        <fgColor rgb="FFE4DFEC"/>
      </patternFill>
    </fill>
    <fill>
      <patternFill patternType="solid">
        <fgColor rgb="FFDDEBF7"/>
      </patternFill>
    </fill>
    <fill>
      <patternFill patternType="solid">
        <fgColor rgb="FF0C62FB"/>
      </patternFill>
    </fill>
    <fill>
      <patternFill patternType="solid">
        <fgColor rgb="FF123D8C"/>
      </patternFill>
    </fill>
    <fill>
      <patternFill patternType="solid">
        <fgColor rgb="FFD9EAF7"/>
      </patternFill>
    </fill>
  </fills>
  <borders count="3">
    <border>
      <left/>
      <right/>
      <top/>
      <bottom/>
      <diagonal/>
    </border>
    <border>
      <left/>
      <right/>
      <top/>
      <bottom style="medium">
        <color rgb="FF123D8C"/>
      </bottom>
      <diagonal/>
    </border>
    <border>
      <left/>
      <right/>
      <top/>
      <bottom style="thin">
        <color rgb="FFD9E2F3"/>
      </bottom>
      <diagonal/>
    </border>
  </borders>
  <cellStyleXfs count="2">
    <xf numFmtId="0" fontId="0" fillId="0" borderId="0"/>
    <xf numFmtId="0" fontId="5" fillId="0" borderId="0"/>
  </cellStyleXfs>
  <cellXfs count="25">
    <xf numFmtId="0" fontId="0" fillId="0" borderId="0" xfId="0"/>
    <xf numFmtId="0" fontId="5" fillId="0" borderId="0" xfId="1"/>
    <xf numFmtId="0" fontId="6" fillId="10" borderId="2" xfId="0" applyFont="1" applyFill="1" applyBorder="1" applyAlignment="1">
      <alignment vertical="top" wrapText="1"/>
    </xf>
    <xf numFmtId="0" fontId="7" fillId="0" borderId="2" xfId="0" applyFont="1" applyBorder="1" applyAlignment="1">
      <alignment vertical="top" wrapText="1"/>
    </xf>
    <xf numFmtId="0" fontId="3" fillId="8" borderId="1" xfId="0" applyFont="1" applyFill="1" applyBorder="1" applyAlignment="1">
      <alignment horizontal="center" vertical="center" wrapText="1"/>
    </xf>
    <xf numFmtId="0" fontId="4" fillId="0" borderId="2" xfId="0" applyFont="1" applyBorder="1" applyAlignment="1">
      <alignment vertical="top" wrapText="1"/>
    </xf>
    <xf numFmtId="0" fontId="4" fillId="2" borderId="2" xfId="0" applyFont="1" applyFill="1"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3" fillId="8" borderId="0" xfId="0" applyFont="1" applyFill="1" applyAlignment="1">
      <alignment horizontal="center" wrapText="1"/>
    </xf>
    <xf numFmtId="9" fontId="4" fillId="0" borderId="2" xfId="0" applyNumberFormat="1" applyFont="1" applyBorder="1" applyAlignment="1">
      <alignment vertical="top" wrapText="1"/>
    </xf>
    <xf numFmtId="0" fontId="2" fillId="10" borderId="0" xfId="0" applyFont="1" applyFill="1" applyAlignment="1">
      <alignment vertical="top" wrapText="1"/>
    </xf>
    <xf numFmtId="0" fontId="0" fillId="0" borderId="0" xfId="0"/>
    <xf numFmtId="0" fontId="1" fillId="9" borderId="0" xfId="0" applyFont="1" applyFill="1" applyAlignment="1">
      <alignment vertical="center"/>
    </xf>
    <xf numFmtId="0" fontId="2" fillId="10" borderId="0" xfId="0" applyFont="1" applyFill="1" applyAlignment="1">
      <alignment wrapText="1"/>
    </xf>
    <xf numFmtId="0" fontId="1" fillId="9" borderId="0" xfId="0" applyFont="1" applyFill="1" applyAlignment="1">
      <alignment vertical="top"/>
    </xf>
    <xf numFmtId="0" fontId="0" fillId="0" borderId="0" xfId="0" applyAlignment="1">
      <alignment vertical="top"/>
    </xf>
    <xf numFmtId="0" fontId="0" fillId="0" borderId="0" xfId="0" applyAlignment="1">
      <alignment vertical="top"/>
    </xf>
    <xf numFmtId="0" fontId="3" fillId="8" borderId="1" xfId="0" applyFont="1" applyFill="1" applyBorder="1" applyAlignment="1">
      <alignment horizontal="center" vertical="top" wrapText="1"/>
    </xf>
    <xf numFmtId="0" fontId="4" fillId="0" borderId="2" xfId="0" quotePrefix="1" applyFont="1" applyBorder="1" applyAlignment="1">
      <alignment vertical="top" wrapText="1"/>
    </xf>
    <xf numFmtId="0" fontId="5" fillId="0" borderId="0" xfId="1" applyAlignment="1">
      <alignment vertical="top" wrapText="1"/>
    </xf>
    <xf numFmtId="0" fontId="4" fillId="2" borderId="2" xfId="0" applyFont="1" applyFill="1" applyBorder="1" applyAlignment="1">
      <alignment horizontal="center" vertical="center" wrapText="1"/>
    </xf>
  </cellXfs>
  <cellStyles count="2">
    <cellStyle name="Hyperlink" xfId="1" builtinId="8"/>
    <cellStyle name="Normal" xfId="0" builtinId="0"/>
  </cellStyles>
  <dxfs count="6">
    <dxf>
      <font>
        <b/>
        <i val="0"/>
        <color rgb="FF666666"/>
      </font>
      <fill>
        <patternFill patternType="solid">
          <fgColor indexed="64"/>
          <bgColor rgb="FFD9EAD3"/>
        </patternFill>
      </fill>
    </dxf>
    <dxf>
      <font>
        <b/>
        <i val="0"/>
        <color rgb="FF9C0006"/>
      </font>
      <fill>
        <patternFill patternType="solid">
          <fgColor indexed="64"/>
          <bgColor rgb="FFF4CCCC"/>
        </patternFill>
      </fill>
    </dxf>
    <dxf>
      <font>
        <b/>
        <i val="0"/>
        <color rgb="FF375623"/>
      </font>
      <fill>
        <patternFill patternType="solid">
          <fgColor indexed="64"/>
          <bgColor rgb="FFE2F0D9"/>
        </patternFill>
      </fill>
    </dxf>
    <dxf>
      <font>
        <b/>
        <i val="0"/>
        <color rgb="FF1F4E78"/>
      </font>
      <fill>
        <patternFill patternType="solid">
          <fgColor indexed="64"/>
          <bgColor rgb="FFDDEBF7"/>
        </patternFill>
      </fill>
    </dxf>
    <dxf>
      <font>
        <b/>
        <i val="0"/>
        <color rgb="FF7F6000"/>
      </font>
      <fill>
        <patternFill patternType="solid">
          <fgColor indexed="64"/>
          <bgColor rgb="FFFFF2CC"/>
        </patternFill>
      </fill>
    </dxf>
    <dxf>
      <font>
        <b/>
        <i val="0"/>
        <color rgb="FF404040"/>
      </font>
      <fill>
        <patternFill patternType="solid">
          <fgColor indexed="64"/>
          <bgColor rgb="FFE7E6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gendaSummary" displayName="AgendaSummary" ref="A4:D12">
  <autoFilter ref="A4:D12" xr:uid="{00000000-0009-0000-0100-000001000000}"/>
  <tableColumns count="4">
    <tableColumn id="1" xr3:uid="{00000000-0010-0000-0000-000001000000}" name="Segment"/>
    <tableColumn id="2" xr3:uid="{00000000-0010-0000-0000-000002000000}" name="Timing"/>
    <tableColumn id="3" xr3:uid="{00000000-0010-0000-0000-000003000000}" name="Expected evidence"/>
    <tableColumn id="4" xr3:uid="{00000000-0010-0000-0000-000004000000}" name="Build step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eroRecords" displayName="HeroRecords" ref="A4:D22">
  <autoFilter ref="A4:D22" xr:uid="{00000000-0009-0000-0100-000002000000}"/>
  <tableColumns count="4">
    <tableColumn id="1" xr3:uid="{00000000-0010-0000-0100-000001000000}" name="Record / object"/>
    <tableColumn id="2" xr3:uid="{00000000-0010-0000-0100-000002000000}" name="Sample value"/>
    <tableColumn id="3" xr3:uid="{00000000-0010-0000-0100-000003000000}" name="Usage"/>
    <tableColumn id="4" xr3:uid="{00000000-0010-0000-0100-000004000000}" name="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oringWeights" displayName="ScoringWeights" ref="A4:C11">
  <autoFilter ref="A4:C11" xr:uid="{00000000-0009-0000-0100-000003000000}"/>
  <tableColumns count="3">
    <tableColumn id="1" xr3:uid="{00000000-0010-0000-0200-000001000000}" name="Category"/>
    <tableColumn id="2" xr3:uid="{00000000-0010-0000-0200-000002000000}" name="Weight"/>
    <tableColumn id="3" xr3:uid="{00000000-0010-0000-0200-000003000000}" name="Evaluator scoring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Notes" displayName="SourceNotes" ref="A4:B9">
  <autoFilter ref="A4:B9" xr:uid="{00000000-0009-0000-0100-000004000000}"/>
  <tableColumns count="2">
    <tableColumn id="1" xr3:uid="{00000000-0010-0000-0300-000001000000}" name="Field"/>
    <tableColumn id="2" xr3:uid="{00000000-0010-0000-0300-000002000000}"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moBuildLensCEOnly" displayName="DemoBuildLensCEOnly" ref="A4:F11">
  <autoFilter ref="A4:F11" xr:uid="{00000000-0009-0000-0100-000005000000}"/>
  <tableColumns count="6">
    <tableColumn id="1" xr3:uid="{00000000-0010-0000-0400-000001000000}" name="Layer"/>
    <tableColumn id="2" xr3:uid="{00000000-0010-0000-0400-000002000000}" name="Likely demo build"/>
    <tableColumn id="3" xr3:uid="{00000000-0010-0000-0400-000003000000}" name="Example tracker rows"/>
    <tableColumn id="4" xr3:uid="{00000000-0010-0000-0400-000004000000}" name="Build stance"/>
    <tableColumn id="5" xr3:uid="{00000000-0010-0000-0400-000005000000}" name="Risk / decision"/>
    <tableColumn id="6" xr3:uid="{00000000-0010-0000-0400-000006000000}" name="Source ba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generaldemosl.crm.dynamics.com/main.aspx?appid=cdda307e-2b91-f111-b8da-000d3a340666&amp;forceUCI=1&amp;pagetype=entityrecord&amp;etn=opportunity&amp;id=395ca505-faf0-4044-a93f-3e24d92d625e" TargetMode="External"/><Relationship Id="rId1" Type="http://schemas.openxmlformats.org/officeDocument/2006/relationships/hyperlink" Target="https://generaldemosl.crm.dynamics.com/main.aspx?appid=cdda307e-2b91-f111-b8da-000d3a340666&amp;forceUCI=1&amp;pagetype=entityrecord&amp;etn=account&amp;id=669ddb12-ba91-f111-b8dc-000d3a340c29"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showGridLines="0" zoomScale="170" zoomScaleNormal="170" workbookViewId="0">
      <selection sqref="A1:E1"/>
    </sheetView>
  </sheetViews>
  <sheetFormatPr baseColWidth="10" defaultColWidth="8.83203125" defaultRowHeight="15" x14ac:dyDescent="0.2"/>
  <cols>
    <col min="1" max="1" width="24" customWidth="1"/>
    <col min="2" max="2" width="120" customWidth="1"/>
  </cols>
  <sheetData>
    <row r="1" spans="1:5" ht="30" customHeight="1" x14ac:dyDescent="0.2">
      <c r="A1" s="16" t="s">
        <v>0</v>
      </c>
      <c r="B1" s="15"/>
      <c r="C1" s="15"/>
      <c r="D1" s="15"/>
      <c r="E1" s="15"/>
    </row>
    <row r="3" spans="1:5" ht="54" customHeight="1" x14ac:dyDescent="0.2">
      <c r="A3" s="2" t="s">
        <v>1</v>
      </c>
      <c r="B3" s="3" t="s">
        <v>2</v>
      </c>
    </row>
    <row r="4" spans="1:5" ht="54" customHeight="1" x14ac:dyDescent="0.2">
      <c r="A4" s="2" t="s">
        <v>3</v>
      </c>
      <c r="B4" s="3" t="s">
        <v>4</v>
      </c>
    </row>
    <row r="5" spans="1:5" ht="54" customHeight="1" x14ac:dyDescent="0.2">
      <c r="A5" s="2" t="s">
        <v>5</v>
      </c>
      <c r="B5" s="3" t="s">
        <v>6</v>
      </c>
    </row>
    <row r="6" spans="1:5" ht="54" customHeight="1" x14ac:dyDescent="0.2">
      <c r="A6" s="2" t="s">
        <v>7</v>
      </c>
      <c r="B6" s="3" t="s">
        <v>8</v>
      </c>
    </row>
  </sheetData>
  <mergeCells count="1">
    <mergeCell ref="A1:E1"/>
  </mergeCells>
  <pageMargins left="0.25" right="0.25" top="0.5" bottom="0.5" header="0.5" footer="0.5"/>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4"/>
  <sheetViews>
    <sheetView showGridLines="0" tabSelected="1" zoomScale="135" zoomScaleNormal="160" workbookViewId="0">
      <pane ySplit="4" topLeftCell="A22" activePane="bottomLeft" state="frozen"/>
      <selection pane="bottomLeft" activeCell="M5" sqref="M5"/>
    </sheetView>
  </sheetViews>
  <sheetFormatPr baseColWidth="10" defaultColWidth="8.83203125" defaultRowHeight="15" x14ac:dyDescent="0.2"/>
  <cols>
    <col min="1" max="1" width="12.33203125" style="20" customWidth="1"/>
    <col min="2" max="2" width="9" style="20" customWidth="1"/>
    <col min="3" max="3" width="20" style="20" customWidth="1"/>
    <col min="4" max="4" width="9" style="20" customWidth="1"/>
    <col min="5" max="5" width="28.5" style="20" customWidth="1"/>
    <col min="6" max="6" width="18.1640625" style="20" customWidth="1"/>
    <col min="7" max="7" width="16.83203125" style="20" customWidth="1"/>
    <col min="8" max="8" width="32.1640625" style="20" customWidth="1"/>
    <col min="9" max="9" width="50" style="20" customWidth="1"/>
    <col min="10" max="11" width="18" style="20" customWidth="1"/>
    <col min="12" max="12" width="14" style="20" customWidth="1"/>
    <col min="13" max="13" width="15.33203125" style="20" customWidth="1"/>
    <col min="14" max="14" width="12" style="20" customWidth="1"/>
    <col min="15" max="15" width="27.6640625" style="20" customWidth="1"/>
    <col min="16" max="16384" width="8.83203125" style="20"/>
  </cols>
  <sheetData>
    <row r="1" spans="1:15" ht="24" x14ac:dyDescent="0.2">
      <c r="A1" s="18" t="s">
        <v>9</v>
      </c>
      <c r="B1" s="19"/>
      <c r="C1" s="19"/>
      <c r="D1" s="19"/>
      <c r="E1" s="19"/>
      <c r="F1" s="19"/>
      <c r="G1" s="19"/>
      <c r="H1" s="19"/>
      <c r="I1" s="19"/>
      <c r="J1" s="19"/>
      <c r="K1" s="19"/>
      <c r="L1" s="19"/>
      <c r="M1" s="19"/>
      <c r="N1" s="19"/>
    </row>
    <row r="2" spans="1:15" x14ac:dyDescent="0.2">
      <c r="A2" s="14" t="s">
        <v>10</v>
      </c>
      <c r="B2" s="19"/>
      <c r="C2" s="19"/>
      <c r="D2" s="19"/>
      <c r="E2" s="19"/>
      <c r="F2" s="19"/>
      <c r="G2" s="19"/>
      <c r="H2" s="19"/>
      <c r="I2" s="19"/>
      <c r="J2" s="19"/>
      <c r="K2" s="19"/>
      <c r="L2" s="19"/>
      <c r="M2" s="19"/>
      <c r="N2" s="19"/>
    </row>
    <row r="4" spans="1:15" ht="32" x14ac:dyDescent="0.2">
      <c r="A4" s="21" t="s">
        <v>11</v>
      </c>
      <c r="B4" s="21" t="s">
        <v>12</v>
      </c>
      <c r="C4" s="21" t="s">
        <v>13</v>
      </c>
      <c r="D4" s="21" t="s">
        <v>14</v>
      </c>
      <c r="E4" s="21" t="s">
        <v>15</v>
      </c>
      <c r="F4" s="21" t="s">
        <v>16</v>
      </c>
      <c r="G4" s="21" t="s">
        <v>17</v>
      </c>
      <c r="H4" s="21" t="s">
        <v>18</v>
      </c>
      <c r="I4" s="21" t="s">
        <v>418</v>
      </c>
      <c r="J4" s="21" t="s">
        <v>19</v>
      </c>
      <c r="K4" s="21" t="s">
        <v>432</v>
      </c>
      <c r="L4" s="21" t="s">
        <v>20</v>
      </c>
      <c r="M4" s="21" t="s">
        <v>21</v>
      </c>
      <c r="N4" s="21" t="s">
        <v>22</v>
      </c>
      <c r="O4" s="21" t="s">
        <v>23</v>
      </c>
    </row>
    <row r="5" spans="1:15" ht="150" x14ac:dyDescent="0.2">
      <c r="A5" s="5" t="s">
        <v>24</v>
      </c>
      <c r="B5" s="5" t="s">
        <v>25</v>
      </c>
      <c r="C5" s="5" t="s">
        <v>26</v>
      </c>
      <c r="D5" s="5" t="s">
        <v>27</v>
      </c>
      <c r="E5" s="5" t="s">
        <v>28</v>
      </c>
      <c r="F5" s="5" t="s">
        <v>29</v>
      </c>
      <c r="G5" s="5" t="s">
        <v>30</v>
      </c>
      <c r="H5" s="5" t="s">
        <v>31</v>
      </c>
      <c r="I5" s="5" t="s">
        <v>458</v>
      </c>
      <c r="J5" s="24" t="s">
        <v>32</v>
      </c>
      <c r="K5" s="6"/>
      <c r="L5" s="5" t="s">
        <v>33</v>
      </c>
      <c r="M5" s="5" t="s">
        <v>460</v>
      </c>
      <c r="N5" s="5" t="s">
        <v>34</v>
      </c>
      <c r="O5" s="5" t="s">
        <v>35</v>
      </c>
    </row>
    <row r="6" spans="1:15" ht="195" x14ac:dyDescent="0.2">
      <c r="A6" s="7" t="s">
        <v>36</v>
      </c>
      <c r="B6" s="5" t="s">
        <v>37</v>
      </c>
      <c r="C6" s="5" t="s">
        <v>38</v>
      </c>
      <c r="D6" s="5" t="s">
        <v>39</v>
      </c>
      <c r="E6" s="5" t="s">
        <v>40</v>
      </c>
      <c r="F6" s="23" t="s">
        <v>433</v>
      </c>
      <c r="G6" s="5" t="s">
        <v>41</v>
      </c>
      <c r="H6" s="5" t="s">
        <v>416</v>
      </c>
      <c r="I6" s="5" t="s">
        <v>437</v>
      </c>
      <c r="J6" s="24" t="s">
        <v>331</v>
      </c>
      <c r="K6" s="6" t="s">
        <v>438</v>
      </c>
      <c r="L6" s="5" t="s">
        <v>42</v>
      </c>
      <c r="M6" s="5"/>
      <c r="N6" s="5" t="s">
        <v>43</v>
      </c>
      <c r="O6" s="5"/>
    </row>
    <row r="7" spans="1:15" ht="187" x14ac:dyDescent="0.2">
      <c r="A7" s="7" t="s">
        <v>36</v>
      </c>
      <c r="B7" s="5" t="s">
        <v>37</v>
      </c>
      <c r="C7" s="5" t="s">
        <v>38</v>
      </c>
      <c r="D7" s="5" t="s">
        <v>44</v>
      </c>
      <c r="E7" s="5" t="s">
        <v>45</v>
      </c>
      <c r="F7" s="23" t="s">
        <v>434</v>
      </c>
      <c r="G7" s="5" t="s">
        <v>41</v>
      </c>
      <c r="H7" s="5" t="s">
        <v>423</v>
      </c>
      <c r="I7" s="22" t="s">
        <v>439</v>
      </c>
      <c r="J7" s="24" t="s">
        <v>331</v>
      </c>
      <c r="K7" s="6" t="s">
        <v>435</v>
      </c>
      <c r="L7" s="5" t="s">
        <v>42</v>
      </c>
      <c r="M7" s="5"/>
      <c r="N7" s="5" t="s">
        <v>46</v>
      </c>
      <c r="O7" s="5"/>
    </row>
    <row r="8" spans="1:15" ht="180" x14ac:dyDescent="0.2">
      <c r="A8" s="7" t="s">
        <v>36</v>
      </c>
      <c r="B8" s="5" t="s">
        <v>37</v>
      </c>
      <c r="C8" s="5" t="s">
        <v>38</v>
      </c>
      <c r="D8" s="5" t="s">
        <v>47</v>
      </c>
      <c r="E8" s="5" t="s">
        <v>48</v>
      </c>
      <c r="F8" s="5" t="s">
        <v>49</v>
      </c>
      <c r="G8" s="5" t="s">
        <v>41</v>
      </c>
      <c r="H8" s="5" t="s">
        <v>417</v>
      </c>
      <c r="I8" s="5" t="s">
        <v>440</v>
      </c>
      <c r="J8" s="24" t="s">
        <v>32</v>
      </c>
      <c r="K8" s="6"/>
      <c r="L8" s="5" t="s">
        <v>42</v>
      </c>
      <c r="M8" s="5"/>
      <c r="N8" s="5" t="s">
        <v>50</v>
      </c>
      <c r="O8" s="5"/>
    </row>
    <row r="9" spans="1:15" ht="75" x14ac:dyDescent="0.2">
      <c r="A9" s="7" t="s">
        <v>36</v>
      </c>
      <c r="B9" s="5" t="s">
        <v>37</v>
      </c>
      <c r="C9" s="5" t="s">
        <v>38</v>
      </c>
      <c r="D9" s="5" t="s">
        <v>51</v>
      </c>
      <c r="E9" s="5" t="s">
        <v>52</v>
      </c>
      <c r="F9" s="5" t="s">
        <v>53</v>
      </c>
      <c r="G9" s="5" t="s">
        <v>54</v>
      </c>
      <c r="H9" s="5" t="s">
        <v>55</v>
      </c>
      <c r="I9" s="5" t="s">
        <v>441</v>
      </c>
      <c r="J9" s="24" t="s">
        <v>32</v>
      </c>
      <c r="K9" s="6"/>
      <c r="L9" s="5" t="s">
        <v>56</v>
      </c>
      <c r="M9" s="5"/>
      <c r="N9" s="5" t="s">
        <v>57</v>
      </c>
      <c r="O9" s="5"/>
    </row>
    <row r="10" spans="1:15" ht="90" x14ac:dyDescent="0.2">
      <c r="A10" s="7" t="s">
        <v>36</v>
      </c>
      <c r="B10" s="5" t="s">
        <v>37</v>
      </c>
      <c r="C10" s="5" t="s">
        <v>38</v>
      </c>
      <c r="D10" s="5" t="s">
        <v>58</v>
      </c>
      <c r="E10" s="5" t="s">
        <v>59</v>
      </c>
      <c r="F10" s="5" t="s">
        <v>60</v>
      </c>
      <c r="G10" s="5" t="s">
        <v>41</v>
      </c>
      <c r="H10" s="5" t="s">
        <v>419</v>
      </c>
      <c r="I10" s="5" t="s">
        <v>442</v>
      </c>
      <c r="J10" s="24" t="s">
        <v>32</v>
      </c>
      <c r="K10" s="6"/>
      <c r="L10" s="5" t="s">
        <v>56</v>
      </c>
      <c r="M10" s="5"/>
      <c r="N10" s="5" t="s">
        <v>61</v>
      </c>
      <c r="O10" s="5"/>
    </row>
    <row r="11" spans="1:15" ht="90" x14ac:dyDescent="0.2">
      <c r="A11" s="7" t="s">
        <v>36</v>
      </c>
      <c r="B11" s="5" t="s">
        <v>37</v>
      </c>
      <c r="C11" s="5" t="s">
        <v>38</v>
      </c>
      <c r="D11" s="5" t="s">
        <v>62</v>
      </c>
      <c r="E11" s="5" t="s">
        <v>63</v>
      </c>
      <c r="F11" s="5" t="s">
        <v>64</v>
      </c>
      <c r="G11" s="5" t="s">
        <v>65</v>
      </c>
      <c r="H11" s="5" t="s">
        <v>420</v>
      </c>
      <c r="I11" s="5" t="s">
        <v>443</v>
      </c>
      <c r="J11" s="24" t="s">
        <v>32</v>
      </c>
      <c r="K11" s="6"/>
      <c r="L11" s="5" t="s">
        <v>56</v>
      </c>
      <c r="M11" s="5"/>
      <c r="N11" s="5" t="s">
        <v>66</v>
      </c>
      <c r="O11" s="5"/>
    </row>
    <row r="12" spans="1:15" ht="120" x14ac:dyDescent="0.2">
      <c r="A12" s="8" t="s">
        <v>67</v>
      </c>
      <c r="B12" s="5" t="s">
        <v>68</v>
      </c>
      <c r="C12" s="5" t="s">
        <v>69</v>
      </c>
      <c r="D12" s="5" t="s">
        <v>70</v>
      </c>
      <c r="E12" s="5" t="s">
        <v>71</v>
      </c>
      <c r="F12" s="5" t="s">
        <v>72</v>
      </c>
      <c r="G12" s="5" t="s">
        <v>73</v>
      </c>
      <c r="H12" s="5" t="s">
        <v>424</v>
      </c>
      <c r="I12" s="5" t="s">
        <v>444</v>
      </c>
      <c r="J12" s="24" t="s">
        <v>32</v>
      </c>
      <c r="K12" s="6" t="s">
        <v>436</v>
      </c>
      <c r="L12" s="5" t="s">
        <v>42</v>
      </c>
      <c r="M12" s="5"/>
      <c r="N12" s="5" t="s">
        <v>74</v>
      </c>
      <c r="O12" s="5"/>
    </row>
    <row r="13" spans="1:15" ht="165" x14ac:dyDescent="0.2">
      <c r="A13" s="8" t="s">
        <v>67</v>
      </c>
      <c r="B13" s="5" t="s">
        <v>68</v>
      </c>
      <c r="C13" s="5" t="s">
        <v>69</v>
      </c>
      <c r="D13" s="5" t="s">
        <v>75</v>
      </c>
      <c r="E13" s="5" t="s">
        <v>76</v>
      </c>
      <c r="F13" s="5" t="s">
        <v>77</v>
      </c>
      <c r="G13" s="5" t="s">
        <v>78</v>
      </c>
      <c r="H13" s="5" t="s">
        <v>421</v>
      </c>
      <c r="I13" s="5" t="s">
        <v>445</v>
      </c>
      <c r="J13" s="24" t="s">
        <v>32</v>
      </c>
      <c r="K13" s="6"/>
      <c r="L13" s="5" t="s">
        <v>42</v>
      </c>
      <c r="M13" s="5"/>
      <c r="N13" s="5" t="s">
        <v>79</v>
      </c>
      <c r="O13" s="5"/>
    </row>
    <row r="14" spans="1:15" ht="75" x14ac:dyDescent="0.2">
      <c r="A14" s="8" t="s">
        <v>67</v>
      </c>
      <c r="B14" s="5" t="s">
        <v>68</v>
      </c>
      <c r="C14" s="5" t="s">
        <v>69</v>
      </c>
      <c r="D14" s="5" t="s">
        <v>80</v>
      </c>
      <c r="E14" s="5" t="s">
        <v>81</v>
      </c>
      <c r="F14" s="5" t="s">
        <v>82</v>
      </c>
      <c r="G14" s="5" t="s">
        <v>73</v>
      </c>
      <c r="H14" s="5" t="s">
        <v>83</v>
      </c>
      <c r="I14" s="5" t="s">
        <v>446</v>
      </c>
      <c r="J14" s="24" t="s">
        <v>32</v>
      </c>
      <c r="K14" s="6"/>
      <c r="L14" s="5" t="s">
        <v>42</v>
      </c>
      <c r="M14" s="5"/>
      <c r="N14" s="5" t="s">
        <v>84</v>
      </c>
      <c r="O14" s="5"/>
    </row>
    <row r="15" spans="1:15" ht="60" x14ac:dyDescent="0.2">
      <c r="A15" s="8" t="s">
        <v>67</v>
      </c>
      <c r="B15" s="5" t="s">
        <v>68</v>
      </c>
      <c r="C15" s="5" t="s">
        <v>69</v>
      </c>
      <c r="D15" s="5" t="s">
        <v>85</v>
      </c>
      <c r="E15" s="5" t="s">
        <v>86</v>
      </c>
      <c r="F15" s="5" t="s">
        <v>87</v>
      </c>
      <c r="G15" s="5" t="s">
        <v>88</v>
      </c>
      <c r="H15" s="5" t="s">
        <v>89</v>
      </c>
      <c r="I15" s="5" t="s">
        <v>422</v>
      </c>
      <c r="J15" s="24" t="s">
        <v>32</v>
      </c>
      <c r="K15" s="6"/>
      <c r="L15" s="5" t="s">
        <v>42</v>
      </c>
      <c r="M15" s="5"/>
      <c r="N15" s="5" t="s">
        <v>90</v>
      </c>
      <c r="O15" s="5"/>
    </row>
    <row r="16" spans="1:15" ht="60" x14ac:dyDescent="0.2">
      <c r="A16" s="8" t="s">
        <v>67</v>
      </c>
      <c r="B16" s="5" t="s">
        <v>68</v>
      </c>
      <c r="C16" s="5" t="s">
        <v>69</v>
      </c>
      <c r="D16" s="5" t="s">
        <v>91</v>
      </c>
      <c r="E16" s="5" t="s">
        <v>92</v>
      </c>
      <c r="F16" s="5" t="s">
        <v>93</v>
      </c>
      <c r="G16" s="5" t="s">
        <v>94</v>
      </c>
      <c r="H16" s="5" t="s">
        <v>95</v>
      </c>
      <c r="I16" s="5"/>
      <c r="J16" s="24" t="s">
        <v>32</v>
      </c>
      <c r="K16" s="6"/>
      <c r="L16" s="5" t="s">
        <v>42</v>
      </c>
      <c r="M16" s="5"/>
      <c r="N16" s="5" t="s">
        <v>96</v>
      </c>
      <c r="O16" s="5"/>
    </row>
    <row r="17" spans="1:15" ht="60" x14ac:dyDescent="0.2">
      <c r="A17" s="8" t="s">
        <v>67</v>
      </c>
      <c r="B17" s="5" t="s">
        <v>68</v>
      </c>
      <c r="C17" s="5" t="s">
        <v>69</v>
      </c>
      <c r="D17" s="5" t="s">
        <v>97</v>
      </c>
      <c r="E17" s="5" t="s">
        <v>98</v>
      </c>
      <c r="F17" s="5" t="s">
        <v>99</v>
      </c>
      <c r="G17" s="5" t="s">
        <v>41</v>
      </c>
      <c r="H17" s="5" t="s">
        <v>100</v>
      </c>
      <c r="I17" s="5"/>
      <c r="J17" s="24" t="s">
        <v>32</v>
      </c>
      <c r="K17" s="6"/>
      <c r="L17" s="5" t="s">
        <v>56</v>
      </c>
      <c r="M17" s="5"/>
      <c r="N17" s="5" t="s">
        <v>101</v>
      </c>
      <c r="O17" s="5"/>
    </row>
    <row r="18" spans="1:15" ht="60" x14ac:dyDescent="0.2">
      <c r="A18" s="8" t="s">
        <v>67</v>
      </c>
      <c r="B18" s="5" t="s">
        <v>68</v>
      </c>
      <c r="C18" s="5" t="s">
        <v>69</v>
      </c>
      <c r="D18" s="5" t="s">
        <v>102</v>
      </c>
      <c r="E18" s="5" t="s">
        <v>103</v>
      </c>
      <c r="F18" s="5" t="s">
        <v>104</v>
      </c>
      <c r="G18" s="5" t="s">
        <v>73</v>
      </c>
      <c r="H18" s="5" t="s">
        <v>105</v>
      </c>
      <c r="I18" s="5" t="s">
        <v>425</v>
      </c>
      <c r="J18" s="24" t="s">
        <v>32</v>
      </c>
      <c r="K18" s="6"/>
      <c r="L18" s="5" t="s">
        <v>56</v>
      </c>
      <c r="M18" s="5"/>
      <c r="N18" s="5" t="s">
        <v>106</v>
      </c>
      <c r="O18" s="5"/>
    </row>
    <row r="19" spans="1:15" ht="75" x14ac:dyDescent="0.2">
      <c r="A19" s="6" t="s">
        <v>107</v>
      </c>
      <c r="B19" s="5" t="s">
        <v>108</v>
      </c>
      <c r="C19" s="5" t="s">
        <v>109</v>
      </c>
      <c r="D19" s="5" t="s">
        <v>110</v>
      </c>
      <c r="E19" s="5" t="s">
        <v>111</v>
      </c>
      <c r="F19" s="5" t="s">
        <v>112</v>
      </c>
      <c r="G19" s="5" t="s">
        <v>113</v>
      </c>
      <c r="H19" s="5" t="s">
        <v>114</v>
      </c>
      <c r="I19" s="5" t="s">
        <v>447</v>
      </c>
      <c r="J19" s="24" t="s">
        <v>32</v>
      </c>
      <c r="K19" s="6"/>
      <c r="L19" s="5" t="s">
        <v>42</v>
      </c>
      <c r="M19" s="5"/>
      <c r="N19" s="5" t="s">
        <v>115</v>
      </c>
      <c r="O19" s="5"/>
    </row>
    <row r="20" spans="1:15" ht="75" x14ac:dyDescent="0.2">
      <c r="A20" s="6" t="s">
        <v>107</v>
      </c>
      <c r="B20" s="5" t="s">
        <v>108</v>
      </c>
      <c r="C20" s="5" t="s">
        <v>109</v>
      </c>
      <c r="D20" s="5" t="s">
        <v>116</v>
      </c>
      <c r="E20" s="5" t="s">
        <v>117</v>
      </c>
      <c r="F20" s="5" t="s">
        <v>118</v>
      </c>
      <c r="G20" s="5" t="s">
        <v>119</v>
      </c>
      <c r="H20" s="5" t="s">
        <v>120</v>
      </c>
      <c r="I20" s="5" t="s">
        <v>448</v>
      </c>
      <c r="J20" s="24" t="s">
        <v>32</v>
      </c>
      <c r="K20" s="6"/>
      <c r="L20" s="5" t="s">
        <v>42</v>
      </c>
      <c r="M20" s="5"/>
      <c r="N20" s="5" t="s">
        <v>121</v>
      </c>
      <c r="O20" s="5"/>
    </row>
    <row r="21" spans="1:15" ht="135" x14ac:dyDescent="0.2">
      <c r="A21" s="6" t="s">
        <v>107</v>
      </c>
      <c r="B21" s="5" t="s">
        <v>108</v>
      </c>
      <c r="C21" s="5" t="s">
        <v>109</v>
      </c>
      <c r="D21" s="5" t="s">
        <v>122</v>
      </c>
      <c r="E21" s="5" t="s">
        <v>123</v>
      </c>
      <c r="F21" s="5" t="s">
        <v>124</v>
      </c>
      <c r="G21" s="5" t="s">
        <v>119</v>
      </c>
      <c r="H21" s="5" t="s">
        <v>426</v>
      </c>
      <c r="I21" s="5"/>
      <c r="J21" s="24" t="s">
        <v>32</v>
      </c>
      <c r="K21" s="6"/>
      <c r="L21" s="5" t="s">
        <v>42</v>
      </c>
      <c r="M21" s="5"/>
      <c r="N21" s="5" t="s">
        <v>125</v>
      </c>
      <c r="O21" s="5"/>
    </row>
    <row r="22" spans="1:15" ht="135" x14ac:dyDescent="0.2">
      <c r="A22" s="6" t="s">
        <v>107</v>
      </c>
      <c r="B22" s="5" t="s">
        <v>108</v>
      </c>
      <c r="C22" s="5" t="s">
        <v>109</v>
      </c>
      <c r="D22" s="5" t="s">
        <v>126</v>
      </c>
      <c r="E22" s="5" t="s">
        <v>127</v>
      </c>
      <c r="F22" s="5" t="s">
        <v>128</v>
      </c>
      <c r="G22" s="5" t="s">
        <v>119</v>
      </c>
      <c r="H22" s="5" t="s">
        <v>427</v>
      </c>
      <c r="I22" s="5" t="s">
        <v>449</v>
      </c>
      <c r="J22" s="24" t="s">
        <v>32</v>
      </c>
      <c r="K22" s="6"/>
      <c r="L22" s="5" t="s">
        <v>42</v>
      </c>
      <c r="M22" s="5"/>
      <c r="N22" s="5" t="s">
        <v>129</v>
      </c>
      <c r="O22" s="5"/>
    </row>
    <row r="23" spans="1:15" ht="75" x14ac:dyDescent="0.2">
      <c r="A23" s="6" t="s">
        <v>107</v>
      </c>
      <c r="B23" s="5" t="s">
        <v>108</v>
      </c>
      <c r="C23" s="5" t="s">
        <v>109</v>
      </c>
      <c r="D23" s="5" t="s">
        <v>130</v>
      </c>
      <c r="E23" s="5" t="s">
        <v>131</v>
      </c>
      <c r="F23" s="5" t="s">
        <v>132</v>
      </c>
      <c r="G23" s="5" t="s">
        <v>133</v>
      </c>
      <c r="H23" s="5" t="s">
        <v>134</v>
      </c>
      <c r="I23" s="5" t="s">
        <v>450</v>
      </c>
      <c r="J23" s="24" t="s">
        <v>32</v>
      </c>
      <c r="K23" s="6"/>
      <c r="L23" s="5" t="s">
        <v>56</v>
      </c>
      <c r="M23" s="5"/>
      <c r="N23" s="5" t="s">
        <v>135</v>
      </c>
      <c r="O23" s="5"/>
    </row>
    <row r="24" spans="1:15" ht="75" x14ac:dyDescent="0.2">
      <c r="A24" s="6" t="s">
        <v>107</v>
      </c>
      <c r="B24" s="5" t="s">
        <v>108</v>
      </c>
      <c r="C24" s="5" t="s">
        <v>109</v>
      </c>
      <c r="D24" s="5" t="s">
        <v>136</v>
      </c>
      <c r="E24" s="5" t="s">
        <v>137</v>
      </c>
      <c r="F24" s="5" t="s">
        <v>138</v>
      </c>
      <c r="G24" s="5" t="s">
        <v>139</v>
      </c>
      <c r="H24" s="5" t="s">
        <v>140</v>
      </c>
      <c r="I24" s="5"/>
      <c r="J24" s="24" t="s">
        <v>32</v>
      </c>
      <c r="K24" s="6"/>
      <c r="L24" s="5" t="s">
        <v>56</v>
      </c>
      <c r="M24" s="5"/>
      <c r="N24" s="5" t="s">
        <v>141</v>
      </c>
      <c r="O24" s="5"/>
    </row>
    <row r="25" spans="1:15" ht="90" x14ac:dyDescent="0.2">
      <c r="A25" s="6" t="s">
        <v>107</v>
      </c>
      <c r="B25" s="5" t="s">
        <v>108</v>
      </c>
      <c r="C25" s="5" t="s">
        <v>109</v>
      </c>
      <c r="D25" s="5" t="s">
        <v>142</v>
      </c>
      <c r="E25" s="5" t="s">
        <v>143</v>
      </c>
      <c r="F25" s="5" t="s">
        <v>144</v>
      </c>
      <c r="G25" s="5" t="s">
        <v>145</v>
      </c>
      <c r="H25" s="5" t="s">
        <v>146</v>
      </c>
      <c r="I25" s="5"/>
      <c r="J25" s="24" t="s">
        <v>32</v>
      </c>
      <c r="K25" s="6"/>
      <c r="L25" s="5" t="s">
        <v>56</v>
      </c>
      <c r="M25" s="5"/>
      <c r="N25" s="5" t="s">
        <v>147</v>
      </c>
      <c r="O25" s="5"/>
    </row>
    <row r="26" spans="1:15" ht="150" x14ac:dyDescent="0.2">
      <c r="A26" s="9" t="s">
        <v>148</v>
      </c>
      <c r="B26" s="5" t="s">
        <v>149</v>
      </c>
      <c r="C26" s="5" t="s">
        <v>150</v>
      </c>
      <c r="D26" s="5" t="s">
        <v>151</v>
      </c>
      <c r="E26" s="5" t="s">
        <v>152</v>
      </c>
      <c r="F26" s="5" t="s">
        <v>153</v>
      </c>
      <c r="G26" s="5" t="s">
        <v>154</v>
      </c>
      <c r="H26" s="5" t="s">
        <v>428</v>
      </c>
      <c r="I26" s="5" t="s">
        <v>451</v>
      </c>
      <c r="J26" s="24" t="s">
        <v>32</v>
      </c>
      <c r="K26" s="6"/>
      <c r="L26" s="5" t="s">
        <v>42</v>
      </c>
      <c r="M26" s="5"/>
      <c r="N26" s="5" t="s">
        <v>155</v>
      </c>
      <c r="O26" s="5"/>
    </row>
    <row r="27" spans="1:15" ht="75" x14ac:dyDescent="0.2">
      <c r="A27" s="9" t="s">
        <v>148</v>
      </c>
      <c r="B27" s="5" t="s">
        <v>149</v>
      </c>
      <c r="C27" s="5" t="s">
        <v>150</v>
      </c>
      <c r="D27" s="5" t="s">
        <v>156</v>
      </c>
      <c r="E27" s="5" t="s">
        <v>157</v>
      </c>
      <c r="F27" s="5" t="s">
        <v>158</v>
      </c>
      <c r="G27" s="5" t="s">
        <v>159</v>
      </c>
      <c r="H27" s="5" t="s">
        <v>160</v>
      </c>
      <c r="I27" s="5"/>
      <c r="J27" s="24" t="s">
        <v>32</v>
      </c>
      <c r="K27" s="6"/>
      <c r="L27" s="5" t="s">
        <v>42</v>
      </c>
      <c r="M27" s="5"/>
      <c r="N27" s="5" t="s">
        <v>161</v>
      </c>
      <c r="O27" s="5"/>
    </row>
    <row r="28" spans="1:15" ht="75" x14ac:dyDescent="0.2">
      <c r="A28" s="9" t="s">
        <v>148</v>
      </c>
      <c r="B28" s="5" t="s">
        <v>149</v>
      </c>
      <c r="C28" s="5" t="s">
        <v>150</v>
      </c>
      <c r="D28" s="5" t="s">
        <v>162</v>
      </c>
      <c r="E28" s="5" t="s">
        <v>163</v>
      </c>
      <c r="F28" s="5" t="s">
        <v>164</v>
      </c>
      <c r="G28" s="5" t="s">
        <v>165</v>
      </c>
      <c r="H28" s="5" t="s">
        <v>166</v>
      </c>
      <c r="I28" s="5" t="s">
        <v>452</v>
      </c>
      <c r="J28" s="24" t="s">
        <v>32</v>
      </c>
      <c r="K28" s="6"/>
      <c r="L28" s="5" t="s">
        <v>42</v>
      </c>
      <c r="M28" s="5"/>
      <c r="N28" s="5" t="s">
        <v>167</v>
      </c>
      <c r="O28" s="5"/>
    </row>
    <row r="29" spans="1:15" ht="90" x14ac:dyDescent="0.2">
      <c r="A29" s="9" t="s">
        <v>148</v>
      </c>
      <c r="B29" s="5" t="s">
        <v>149</v>
      </c>
      <c r="C29" s="5" t="s">
        <v>150</v>
      </c>
      <c r="D29" s="5" t="s">
        <v>168</v>
      </c>
      <c r="E29" s="5" t="s">
        <v>169</v>
      </c>
      <c r="F29" s="5" t="s">
        <v>170</v>
      </c>
      <c r="G29" s="5" t="s">
        <v>171</v>
      </c>
      <c r="H29" s="5" t="s">
        <v>172</v>
      </c>
      <c r="I29" s="5" t="s">
        <v>453</v>
      </c>
      <c r="J29" s="24" t="s">
        <v>32</v>
      </c>
      <c r="K29" s="6"/>
      <c r="L29" s="5" t="s">
        <v>42</v>
      </c>
      <c r="M29" s="5"/>
      <c r="N29" s="5" t="s">
        <v>173</v>
      </c>
      <c r="O29" s="5"/>
    </row>
    <row r="30" spans="1:15" ht="135" x14ac:dyDescent="0.2">
      <c r="A30" s="9" t="s">
        <v>148</v>
      </c>
      <c r="B30" s="5" t="s">
        <v>149</v>
      </c>
      <c r="C30" s="5" t="s">
        <v>150</v>
      </c>
      <c r="D30" s="5" t="s">
        <v>174</v>
      </c>
      <c r="E30" s="5" t="s">
        <v>175</v>
      </c>
      <c r="F30" s="5" t="s">
        <v>176</v>
      </c>
      <c r="G30" s="5" t="s">
        <v>177</v>
      </c>
      <c r="H30" s="5" t="s">
        <v>429</v>
      </c>
      <c r="I30" s="5" t="s">
        <v>454</v>
      </c>
      <c r="J30" s="24" t="s">
        <v>32</v>
      </c>
      <c r="K30" s="6"/>
      <c r="L30" s="5" t="s">
        <v>42</v>
      </c>
      <c r="M30" s="5"/>
      <c r="N30" s="5" t="s">
        <v>178</v>
      </c>
      <c r="O30" s="5"/>
    </row>
    <row r="31" spans="1:15" ht="90" x14ac:dyDescent="0.2">
      <c r="A31" s="9" t="s">
        <v>148</v>
      </c>
      <c r="B31" s="5" t="s">
        <v>149</v>
      </c>
      <c r="C31" s="5" t="s">
        <v>150</v>
      </c>
      <c r="D31" s="5" t="s">
        <v>179</v>
      </c>
      <c r="E31" s="5" t="s">
        <v>180</v>
      </c>
      <c r="F31" s="5" t="s">
        <v>181</v>
      </c>
      <c r="G31" s="5" t="s">
        <v>182</v>
      </c>
      <c r="H31" s="5" t="s">
        <v>183</v>
      </c>
      <c r="I31" s="5" t="s">
        <v>455</v>
      </c>
      <c r="J31" s="24" t="s">
        <v>32</v>
      </c>
      <c r="K31" s="6"/>
      <c r="L31" s="5" t="s">
        <v>56</v>
      </c>
      <c r="M31" s="5"/>
      <c r="N31" s="5" t="s">
        <v>184</v>
      </c>
      <c r="O31" s="5"/>
    </row>
    <row r="32" spans="1:15" ht="90" x14ac:dyDescent="0.2">
      <c r="A32" s="9" t="s">
        <v>148</v>
      </c>
      <c r="B32" s="5" t="s">
        <v>149</v>
      </c>
      <c r="C32" s="5" t="s">
        <v>150</v>
      </c>
      <c r="D32" s="5" t="s">
        <v>185</v>
      </c>
      <c r="E32" s="5" t="s">
        <v>186</v>
      </c>
      <c r="F32" s="5" t="s">
        <v>187</v>
      </c>
      <c r="G32" s="5" t="s">
        <v>188</v>
      </c>
      <c r="H32" s="5" t="s">
        <v>189</v>
      </c>
      <c r="I32" s="5"/>
      <c r="J32" s="24" t="s">
        <v>32</v>
      </c>
      <c r="K32" s="6"/>
      <c r="L32" s="5" t="s">
        <v>56</v>
      </c>
      <c r="M32" s="5"/>
      <c r="N32" s="5" t="s">
        <v>190</v>
      </c>
      <c r="O32" s="5"/>
    </row>
    <row r="33" spans="1:15" ht="135" x14ac:dyDescent="0.2">
      <c r="A33" s="10" t="s">
        <v>191</v>
      </c>
      <c r="B33" s="5" t="s">
        <v>192</v>
      </c>
      <c r="C33" s="5" t="s">
        <v>193</v>
      </c>
      <c r="D33" s="5" t="s">
        <v>194</v>
      </c>
      <c r="E33" s="5" t="s">
        <v>195</v>
      </c>
      <c r="F33" s="5" t="s">
        <v>196</v>
      </c>
      <c r="G33" s="5" t="s">
        <v>197</v>
      </c>
      <c r="H33" s="5" t="s">
        <v>198</v>
      </c>
      <c r="I33" s="5" t="s">
        <v>456</v>
      </c>
      <c r="J33" s="24" t="s">
        <v>32</v>
      </c>
      <c r="K33" s="6"/>
      <c r="L33" s="5" t="s">
        <v>199</v>
      </c>
      <c r="M33" s="5"/>
      <c r="N33" s="5" t="s">
        <v>200</v>
      </c>
      <c r="O33" s="5"/>
    </row>
    <row r="34" spans="1:15" ht="120" x14ac:dyDescent="0.2">
      <c r="A34" s="10" t="s">
        <v>191</v>
      </c>
      <c r="B34" s="5" t="s">
        <v>192</v>
      </c>
      <c r="C34" s="5" t="s">
        <v>193</v>
      </c>
      <c r="D34" s="5" t="s">
        <v>201</v>
      </c>
      <c r="E34" s="5" t="s">
        <v>202</v>
      </c>
      <c r="F34" s="5" t="s">
        <v>203</v>
      </c>
      <c r="G34" s="5" t="s">
        <v>204</v>
      </c>
      <c r="H34" s="5" t="s">
        <v>430</v>
      </c>
      <c r="I34" s="5" t="s">
        <v>457</v>
      </c>
      <c r="J34" s="24" t="s">
        <v>32</v>
      </c>
      <c r="K34" s="6"/>
      <c r="L34" s="5" t="s">
        <v>56</v>
      </c>
      <c r="M34" s="5"/>
      <c r="N34" s="5" t="s">
        <v>205</v>
      </c>
      <c r="O34" s="5"/>
    </row>
    <row r="35" spans="1:15" ht="105" x14ac:dyDescent="0.2">
      <c r="A35" s="10" t="s">
        <v>191</v>
      </c>
      <c r="B35" s="5" t="s">
        <v>192</v>
      </c>
      <c r="C35" s="5" t="s">
        <v>193</v>
      </c>
      <c r="D35" s="5" t="s">
        <v>206</v>
      </c>
      <c r="E35" s="5" t="s">
        <v>207</v>
      </c>
      <c r="F35" s="5" t="s">
        <v>208</v>
      </c>
      <c r="G35" s="5" t="s">
        <v>209</v>
      </c>
      <c r="H35" s="5" t="s">
        <v>431</v>
      </c>
      <c r="I35" s="5" t="s">
        <v>459</v>
      </c>
      <c r="J35" s="24" t="s">
        <v>32</v>
      </c>
      <c r="K35" s="6"/>
      <c r="L35" s="5" t="s">
        <v>56</v>
      </c>
      <c r="M35" s="5"/>
      <c r="N35" s="5" t="s">
        <v>210</v>
      </c>
      <c r="O35" s="5"/>
    </row>
    <row r="36" spans="1:15" ht="90" x14ac:dyDescent="0.2">
      <c r="A36" s="10" t="s">
        <v>191</v>
      </c>
      <c r="B36" s="5" t="s">
        <v>192</v>
      </c>
      <c r="C36" s="5" t="s">
        <v>193</v>
      </c>
      <c r="D36" s="5" t="s">
        <v>211</v>
      </c>
      <c r="E36" s="5" t="s">
        <v>212</v>
      </c>
      <c r="F36" s="5" t="s">
        <v>213</v>
      </c>
      <c r="G36" s="5" t="s">
        <v>214</v>
      </c>
      <c r="H36" s="5" t="s">
        <v>215</v>
      </c>
      <c r="I36" s="5"/>
      <c r="J36" s="24" t="s">
        <v>32</v>
      </c>
      <c r="K36" s="6"/>
      <c r="L36" s="5" t="s">
        <v>42</v>
      </c>
      <c r="M36" s="5"/>
      <c r="N36" s="5" t="s">
        <v>216</v>
      </c>
      <c r="O36" s="5"/>
    </row>
    <row r="37" spans="1:15" ht="90" x14ac:dyDescent="0.2">
      <c r="A37" s="10" t="s">
        <v>191</v>
      </c>
      <c r="B37" s="5" t="s">
        <v>192</v>
      </c>
      <c r="C37" s="5" t="s">
        <v>193</v>
      </c>
      <c r="D37" s="5" t="s">
        <v>217</v>
      </c>
      <c r="E37" s="5" t="s">
        <v>218</v>
      </c>
      <c r="F37" s="5" t="s">
        <v>219</v>
      </c>
      <c r="G37" s="5" t="s">
        <v>220</v>
      </c>
      <c r="H37" s="5" t="s">
        <v>221</v>
      </c>
      <c r="I37" s="5"/>
      <c r="J37" s="24" t="s">
        <v>32</v>
      </c>
      <c r="K37" s="6"/>
      <c r="L37" s="5" t="s">
        <v>56</v>
      </c>
      <c r="M37" s="5"/>
      <c r="N37" s="5" t="s">
        <v>222</v>
      </c>
      <c r="O37" s="5"/>
    </row>
    <row r="38" spans="1:15" ht="120" x14ac:dyDescent="0.2">
      <c r="A38" s="11" t="s">
        <v>223</v>
      </c>
      <c r="B38" s="5" t="s">
        <v>224</v>
      </c>
      <c r="C38" s="5" t="s">
        <v>225</v>
      </c>
      <c r="D38" s="5" t="s">
        <v>226</v>
      </c>
      <c r="E38" s="5" t="s">
        <v>227</v>
      </c>
      <c r="F38" s="5" t="s">
        <v>228</v>
      </c>
      <c r="G38" s="5" t="s">
        <v>229</v>
      </c>
      <c r="H38" s="5" t="s">
        <v>230</v>
      </c>
      <c r="I38" s="5"/>
      <c r="J38" s="24" t="s">
        <v>32</v>
      </c>
      <c r="K38" s="6"/>
      <c r="L38" s="5" t="s">
        <v>33</v>
      </c>
      <c r="M38" s="5"/>
      <c r="N38" s="5" t="s">
        <v>34</v>
      </c>
      <c r="O38" s="5"/>
    </row>
    <row r="39" spans="1:15" ht="90" x14ac:dyDescent="0.2">
      <c r="A39" s="11" t="s">
        <v>223</v>
      </c>
      <c r="B39" s="5" t="s">
        <v>224</v>
      </c>
      <c r="C39" s="5" t="s">
        <v>225</v>
      </c>
      <c r="D39" s="5" t="s">
        <v>231</v>
      </c>
      <c r="E39" s="5" t="s">
        <v>232</v>
      </c>
      <c r="F39" s="5" t="s">
        <v>233</v>
      </c>
      <c r="G39" s="5" t="s">
        <v>229</v>
      </c>
      <c r="H39" s="5" t="s">
        <v>234</v>
      </c>
      <c r="I39" s="5"/>
      <c r="J39" s="24" t="s">
        <v>32</v>
      </c>
      <c r="K39" s="6"/>
      <c r="L39" s="5" t="s">
        <v>33</v>
      </c>
      <c r="M39" s="5"/>
      <c r="N39" s="5" t="s">
        <v>34</v>
      </c>
      <c r="O39" s="5"/>
    </row>
    <row r="40" spans="1:15" ht="75" x14ac:dyDescent="0.2">
      <c r="A40" s="11" t="s">
        <v>223</v>
      </c>
      <c r="B40" s="5" t="s">
        <v>224</v>
      </c>
      <c r="C40" s="5" t="s">
        <v>225</v>
      </c>
      <c r="D40" s="5" t="s">
        <v>235</v>
      </c>
      <c r="E40" s="5" t="s">
        <v>236</v>
      </c>
      <c r="F40" s="5" t="s">
        <v>237</v>
      </c>
      <c r="G40" s="5" t="s">
        <v>238</v>
      </c>
      <c r="H40" s="5" t="s">
        <v>239</v>
      </c>
      <c r="I40" s="5"/>
      <c r="J40" s="24" t="s">
        <v>32</v>
      </c>
      <c r="K40" s="6"/>
      <c r="L40" s="5" t="s">
        <v>33</v>
      </c>
      <c r="M40" s="5"/>
      <c r="N40" s="5" t="s">
        <v>34</v>
      </c>
      <c r="O40" s="5"/>
    </row>
    <row r="41" spans="1:15" ht="60" x14ac:dyDescent="0.2">
      <c r="A41" s="11" t="s">
        <v>223</v>
      </c>
      <c r="B41" s="5" t="s">
        <v>224</v>
      </c>
      <c r="C41" s="5" t="s">
        <v>225</v>
      </c>
      <c r="D41" s="5" t="s">
        <v>240</v>
      </c>
      <c r="E41" s="5" t="s">
        <v>241</v>
      </c>
      <c r="F41" s="5" t="s">
        <v>242</v>
      </c>
      <c r="G41" s="5" t="s">
        <v>243</v>
      </c>
      <c r="H41" s="5" t="s">
        <v>244</v>
      </c>
      <c r="I41" s="5"/>
      <c r="J41" s="24" t="s">
        <v>32</v>
      </c>
      <c r="K41" s="6"/>
      <c r="L41" s="5" t="s">
        <v>33</v>
      </c>
      <c r="M41" s="5"/>
      <c r="N41" s="5" t="s">
        <v>34</v>
      </c>
      <c r="O41" s="5"/>
    </row>
    <row r="42" spans="1:15" ht="90" x14ac:dyDescent="0.2">
      <c r="A42" s="11" t="s">
        <v>223</v>
      </c>
      <c r="B42" s="5" t="s">
        <v>224</v>
      </c>
      <c r="C42" s="5" t="s">
        <v>225</v>
      </c>
      <c r="D42" s="5" t="s">
        <v>245</v>
      </c>
      <c r="E42" s="5" t="s">
        <v>246</v>
      </c>
      <c r="F42" s="5" t="s">
        <v>247</v>
      </c>
      <c r="G42" s="5" t="s">
        <v>248</v>
      </c>
      <c r="H42" s="5" t="s">
        <v>249</v>
      </c>
      <c r="I42" s="5"/>
      <c r="J42" s="24" t="s">
        <v>32</v>
      </c>
      <c r="K42" s="6"/>
      <c r="L42" s="5" t="s">
        <v>33</v>
      </c>
      <c r="M42" s="5"/>
      <c r="N42" s="5" t="s">
        <v>34</v>
      </c>
      <c r="O42" s="5"/>
    </row>
    <row r="43" spans="1:15" ht="105" x14ac:dyDescent="0.2">
      <c r="A43" s="11" t="s">
        <v>223</v>
      </c>
      <c r="B43" s="5" t="s">
        <v>224</v>
      </c>
      <c r="C43" s="5" t="s">
        <v>225</v>
      </c>
      <c r="D43" s="5" t="s">
        <v>250</v>
      </c>
      <c r="E43" s="5" t="s">
        <v>251</v>
      </c>
      <c r="F43" s="5" t="s">
        <v>252</v>
      </c>
      <c r="G43" s="5" t="s">
        <v>253</v>
      </c>
      <c r="H43" s="5" t="s">
        <v>254</v>
      </c>
      <c r="I43" s="5"/>
      <c r="J43" s="24" t="s">
        <v>32</v>
      </c>
      <c r="K43" s="6"/>
      <c r="L43" s="5" t="s">
        <v>33</v>
      </c>
      <c r="M43" s="5"/>
      <c r="N43" s="5" t="s">
        <v>34</v>
      </c>
      <c r="O43" s="5"/>
    </row>
    <row r="44" spans="1:15" ht="75" x14ac:dyDescent="0.2">
      <c r="A44" s="5" t="s">
        <v>255</v>
      </c>
      <c r="B44" s="5" t="s">
        <v>256</v>
      </c>
      <c r="C44" s="5" t="s">
        <v>257</v>
      </c>
      <c r="D44" s="5" t="s">
        <v>258</v>
      </c>
      <c r="E44" s="5" t="s">
        <v>259</v>
      </c>
      <c r="F44" s="5" t="s">
        <v>260</v>
      </c>
      <c r="G44" s="5" t="s">
        <v>261</v>
      </c>
      <c r="H44" s="5" t="s">
        <v>262</v>
      </c>
      <c r="I44" s="5"/>
      <c r="J44" s="24" t="s">
        <v>32</v>
      </c>
      <c r="K44" s="6"/>
      <c r="L44" s="5" t="s">
        <v>33</v>
      </c>
      <c r="M44" s="5"/>
      <c r="N44" s="5" t="s">
        <v>34</v>
      </c>
      <c r="O44" s="5"/>
    </row>
  </sheetData>
  <autoFilter ref="A4:O44" xr:uid="{00000000-0009-0000-0000-000001000000}"/>
  <mergeCells count="2">
    <mergeCell ref="A2:N2"/>
    <mergeCell ref="A1:N1"/>
  </mergeCells>
  <conditionalFormatting sqref="J5:J44">
    <cfRule type="containsText" dxfId="5" priority="1" operator="containsText" text="Not started">
      <formula>NOT(ISERROR(SEARCH("Not started",J5)))</formula>
    </cfRule>
  </conditionalFormatting>
  <conditionalFormatting sqref="J5:J44">
    <cfRule type="containsText" dxfId="4" priority="2" operator="containsText" text="In build">
      <formula>NOT(ISERROR(SEARCH("In build",J5)))</formula>
    </cfRule>
  </conditionalFormatting>
  <conditionalFormatting sqref="J5:J44">
    <cfRule type="containsText" dxfId="3" priority="3" operator="containsText" text="Ready for dry run">
      <formula>NOT(ISERROR(SEARCH("Ready for dry run",J5)))</formula>
    </cfRule>
  </conditionalFormatting>
  <conditionalFormatting sqref="J5:J44">
    <cfRule type="containsText" dxfId="2" priority="4" operator="containsText" text="Validated">
      <formula>NOT(ISERROR(SEARCH("Validated",J5)))</formula>
    </cfRule>
  </conditionalFormatting>
  <conditionalFormatting sqref="J5:J44">
    <cfRule type="containsText" dxfId="1" priority="5" operator="containsText" text="Gap/Risk">
      <formula>NOT(ISERROR(SEARCH("Gap/Risk",J5)))</formula>
    </cfRule>
  </conditionalFormatting>
  <conditionalFormatting sqref="J5:J44">
    <cfRule type="containsText" dxfId="0" priority="6" operator="containsText" text="Out of scope">
      <formula>NOT(ISERROR(SEARCH("Out of scope",J5)))</formula>
    </cfRule>
  </conditionalFormatting>
  <dataValidations count="2">
    <dataValidation type="list" allowBlank="1" sqref="J5:K44" xr:uid="{00000000-0002-0000-0100-000000000000}">
      <formula1>"Not started,In build,Ready for dry run,Validated,Gap/Risk,Out of scope"</formula1>
    </dataValidation>
    <dataValidation type="list" allowBlank="1" sqref="L5:L44" xr:uid="{00000000-0002-0000-0100-000001000000}">
      <formula1>"Must have,Should have,Could have,High"</formula1>
    </dataValidation>
  </dataValidations>
  <hyperlinks>
    <hyperlink ref="F6" r:id="rId1" xr:uid="{BB96D904-37B1-AC46-97F1-C689456F156C}"/>
    <hyperlink ref="F7" r:id="rId2" xr:uid="{66B38C05-CB1A-2149-9301-9D530B2E54CD}"/>
  </hyperlinks>
  <pageMargins left="0.25" right="0.25" top="0.5" bottom="0.5" header="0.5" footer="0.5"/>
  <pageSetup orientation="landscape"/>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
  <sheetViews>
    <sheetView showGridLines="0" workbookViewId="0">
      <pane ySplit="4" topLeftCell="A5" activePane="bottomLeft" state="frozen"/>
      <selection pane="bottomLeft" sqref="A1:L1"/>
    </sheetView>
  </sheetViews>
  <sheetFormatPr baseColWidth="10" defaultColWidth="8.83203125" defaultRowHeight="15" x14ac:dyDescent="0.2"/>
  <cols>
    <col min="1" max="1" width="42" customWidth="1"/>
    <col min="2" max="2" width="14" customWidth="1"/>
    <col min="3" max="3" width="85" customWidth="1"/>
    <col min="4" max="4" width="14" customWidth="1"/>
  </cols>
  <sheetData>
    <row r="1" spans="1:12" ht="30" customHeight="1" x14ac:dyDescent="0.2">
      <c r="A1" s="16" t="s">
        <v>263</v>
      </c>
      <c r="B1" s="15"/>
      <c r="C1" s="15"/>
      <c r="D1" s="15"/>
      <c r="E1" s="15"/>
      <c r="F1" s="15"/>
      <c r="G1" s="15"/>
      <c r="H1" s="15"/>
      <c r="I1" s="15"/>
      <c r="J1" s="15"/>
      <c r="K1" s="15"/>
      <c r="L1" s="15"/>
    </row>
    <row r="2" spans="1:12" ht="30" customHeight="1" x14ac:dyDescent="0.2">
      <c r="A2" s="14" t="s">
        <v>264</v>
      </c>
      <c r="B2" s="15"/>
      <c r="C2" s="15"/>
      <c r="D2" s="15"/>
      <c r="E2" s="15"/>
      <c r="F2" s="15"/>
      <c r="G2" s="15"/>
      <c r="H2" s="15"/>
      <c r="I2" s="15"/>
      <c r="J2" s="15"/>
      <c r="K2" s="15"/>
      <c r="L2" s="15"/>
    </row>
    <row r="4" spans="1:12" ht="16" customHeight="1" x14ac:dyDescent="0.2">
      <c r="A4" s="4" t="s">
        <v>265</v>
      </c>
      <c r="B4" s="4" t="s">
        <v>266</v>
      </c>
      <c r="C4" s="4" t="s">
        <v>13</v>
      </c>
      <c r="D4" s="4" t="s">
        <v>267</v>
      </c>
    </row>
    <row r="5" spans="1:12" x14ac:dyDescent="0.2">
      <c r="A5" s="5" t="s">
        <v>24</v>
      </c>
      <c r="B5" s="5" t="s">
        <v>25</v>
      </c>
      <c r="C5" s="5" t="s">
        <v>26</v>
      </c>
      <c r="D5" s="5">
        <v>1</v>
      </c>
    </row>
    <row r="6" spans="1:12" x14ac:dyDescent="0.2">
      <c r="A6" s="5" t="s">
        <v>36</v>
      </c>
      <c r="B6" s="5" t="s">
        <v>37</v>
      </c>
      <c r="C6" s="5" t="s">
        <v>38</v>
      </c>
      <c r="D6" s="5">
        <v>6</v>
      </c>
    </row>
    <row r="7" spans="1:12" x14ac:dyDescent="0.2">
      <c r="A7" s="5" t="s">
        <v>67</v>
      </c>
      <c r="B7" s="5" t="s">
        <v>68</v>
      </c>
      <c r="C7" s="5" t="s">
        <v>69</v>
      </c>
      <c r="D7" s="5">
        <v>7</v>
      </c>
    </row>
    <row r="8" spans="1:12" x14ac:dyDescent="0.2">
      <c r="A8" s="5" t="s">
        <v>107</v>
      </c>
      <c r="B8" s="5" t="s">
        <v>108</v>
      </c>
      <c r="C8" s="5" t="s">
        <v>109</v>
      </c>
      <c r="D8" s="5">
        <v>7</v>
      </c>
    </row>
    <row r="9" spans="1:12" x14ac:dyDescent="0.2">
      <c r="A9" s="5" t="s">
        <v>148</v>
      </c>
      <c r="B9" s="5" t="s">
        <v>149</v>
      </c>
      <c r="C9" s="5" t="s">
        <v>150</v>
      </c>
      <c r="D9" s="5">
        <v>7</v>
      </c>
    </row>
    <row r="10" spans="1:12" x14ac:dyDescent="0.2">
      <c r="A10" s="5" t="s">
        <v>191</v>
      </c>
      <c r="B10" s="5" t="s">
        <v>192</v>
      </c>
      <c r="C10" s="5" t="s">
        <v>193</v>
      </c>
      <c r="D10" s="5">
        <v>5</v>
      </c>
    </row>
    <row r="11" spans="1:12" x14ac:dyDescent="0.2">
      <c r="A11" s="5" t="s">
        <v>223</v>
      </c>
      <c r="B11" s="5" t="s">
        <v>224</v>
      </c>
      <c r="C11" s="5" t="s">
        <v>225</v>
      </c>
      <c r="D11" s="5">
        <v>6</v>
      </c>
    </row>
    <row r="12" spans="1:12" x14ac:dyDescent="0.2">
      <c r="A12" s="5" t="s">
        <v>255</v>
      </c>
      <c r="B12" s="5" t="s">
        <v>256</v>
      </c>
      <c r="C12" s="5" t="s">
        <v>257</v>
      </c>
      <c r="D12" s="5">
        <v>1</v>
      </c>
    </row>
  </sheetData>
  <mergeCells count="2">
    <mergeCell ref="A2:L2"/>
    <mergeCell ref="A1:L1"/>
  </mergeCells>
  <pageMargins left="0.25" right="0.25" top="0.5" bottom="0.5" header="0.5" footer="0.5"/>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
  <sheetViews>
    <sheetView showGridLines="0" zoomScale="160" zoomScaleNormal="160" workbookViewId="0">
      <pane ySplit="4" topLeftCell="A5" activePane="bottomLeft" state="frozen"/>
      <selection pane="bottomLeft" sqref="A1:L1"/>
    </sheetView>
  </sheetViews>
  <sheetFormatPr baseColWidth="10" defaultColWidth="8.83203125" defaultRowHeight="15" x14ac:dyDescent="0.2"/>
  <cols>
    <col min="1" max="1" width="28" customWidth="1"/>
    <col min="2" max="2" width="55" customWidth="1"/>
    <col min="3" max="3" width="60" customWidth="1"/>
    <col min="4" max="4" width="32" customWidth="1"/>
  </cols>
  <sheetData>
    <row r="1" spans="1:12" ht="30" customHeight="1" x14ac:dyDescent="0.2">
      <c r="A1" s="16" t="s">
        <v>268</v>
      </c>
      <c r="B1" s="15"/>
      <c r="C1" s="15"/>
      <c r="D1" s="15"/>
      <c r="E1" s="15"/>
      <c r="F1" s="15"/>
      <c r="G1" s="15"/>
      <c r="H1" s="15"/>
      <c r="I1" s="15"/>
      <c r="J1" s="15"/>
      <c r="K1" s="15"/>
      <c r="L1" s="15"/>
    </row>
    <row r="2" spans="1:12" ht="30" customHeight="1" x14ac:dyDescent="0.2">
      <c r="A2" s="14" t="s">
        <v>269</v>
      </c>
      <c r="B2" s="15"/>
      <c r="C2" s="15"/>
      <c r="D2" s="15"/>
      <c r="E2" s="15"/>
      <c r="F2" s="15"/>
      <c r="G2" s="15"/>
      <c r="H2" s="15"/>
      <c r="I2" s="15"/>
      <c r="J2" s="15"/>
      <c r="K2" s="15"/>
      <c r="L2" s="15"/>
    </row>
    <row r="4" spans="1:12" ht="16" customHeight="1" x14ac:dyDescent="0.2">
      <c r="A4" s="4" t="s">
        <v>270</v>
      </c>
      <c r="B4" s="4" t="s">
        <v>271</v>
      </c>
      <c r="C4" s="4" t="s">
        <v>272</v>
      </c>
      <c r="D4" s="4" t="s">
        <v>273</v>
      </c>
    </row>
    <row r="5" spans="1:12" x14ac:dyDescent="0.2">
      <c r="A5" s="5" t="s">
        <v>274</v>
      </c>
      <c r="B5" s="5" t="s">
        <v>275</v>
      </c>
      <c r="C5" s="5" t="s">
        <v>276</v>
      </c>
      <c r="D5" s="5" t="s">
        <v>277</v>
      </c>
    </row>
    <row r="6" spans="1:12" x14ac:dyDescent="0.2">
      <c r="A6" s="5" t="s">
        <v>278</v>
      </c>
      <c r="B6" s="5" t="s">
        <v>279</v>
      </c>
      <c r="C6" s="5" t="s">
        <v>280</v>
      </c>
      <c r="D6" s="5" t="s">
        <v>277</v>
      </c>
    </row>
    <row r="7" spans="1:12" x14ac:dyDescent="0.2">
      <c r="A7" s="5" t="s">
        <v>281</v>
      </c>
      <c r="B7" s="5" t="s">
        <v>282</v>
      </c>
      <c r="C7" s="5" t="s">
        <v>283</v>
      </c>
      <c r="D7" s="5" t="s">
        <v>277</v>
      </c>
    </row>
    <row r="8" spans="1:12" x14ac:dyDescent="0.2">
      <c r="A8" s="5" t="s">
        <v>284</v>
      </c>
      <c r="B8" s="5" t="s">
        <v>285</v>
      </c>
      <c r="C8" s="5" t="s">
        <v>286</v>
      </c>
      <c r="D8" s="5" t="s">
        <v>277</v>
      </c>
    </row>
    <row r="9" spans="1:12" x14ac:dyDescent="0.2">
      <c r="A9" s="5" t="s">
        <v>287</v>
      </c>
      <c r="B9" s="5" t="s">
        <v>288</v>
      </c>
      <c r="C9" s="5" t="s">
        <v>289</v>
      </c>
      <c r="D9" s="5" t="s">
        <v>277</v>
      </c>
    </row>
    <row r="10" spans="1:12" x14ac:dyDescent="0.2">
      <c r="A10" s="5" t="s">
        <v>290</v>
      </c>
      <c r="B10" s="5" t="s">
        <v>291</v>
      </c>
      <c r="C10" s="5" t="s">
        <v>292</v>
      </c>
      <c r="D10" s="5" t="s">
        <v>277</v>
      </c>
    </row>
    <row r="11" spans="1:12" x14ac:dyDescent="0.2">
      <c r="A11" s="5" t="s">
        <v>293</v>
      </c>
      <c r="B11" s="5" t="s">
        <v>294</v>
      </c>
      <c r="C11" s="5" t="s">
        <v>295</v>
      </c>
      <c r="D11" s="5" t="s">
        <v>277</v>
      </c>
    </row>
    <row r="12" spans="1:12" x14ac:dyDescent="0.2">
      <c r="A12" s="5" t="s">
        <v>296</v>
      </c>
      <c r="B12" s="5" t="s">
        <v>297</v>
      </c>
      <c r="C12" s="5" t="s">
        <v>295</v>
      </c>
      <c r="D12" s="5" t="s">
        <v>277</v>
      </c>
    </row>
    <row r="13" spans="1:12" x14ac:dyDescent="0.2">
      <c r="A13" s="5" t="s">
        <v>298</v>
      </c>
      <c r="B13" s="5" t="s">
        <v>299</v>
      </c>
      <c r="C13" s="5" t="s">
        <v>300</v>
      </c>
      <c r="D13" s="5" t="s">
        <v>277</v>
      </c>
    </row>
    <row r="14" spans="1:12" x14ac:dyDescent="0.2">
      <c r="A14" s="5" t="s">
        <v>301</v>
      </c>
      <c r="B14" s="5" t="s">
        <v>302</v>
      </c>
      <c r="C14" s="5" t="s">
        <v>303</v>
      </c>
      <c r="D14" s="5" t="s">
        <v>277</v>
      </c>
    </row>
    <row r="15" spans="1:12" x14ac:dyDescent="0.2">
      <c r="A15" s="5" t="s">
        <v>304</v>
      </c>
      <c r="B15" s="5" t="s">
        <v>305</v>
      </c>
      <c r="C15" s="5" t="s">
        <v>303</v>
      </c>
      <c r="D15" s="5" t="s">
        <v>277</v>
      </c>
    </row>
    <row r="16" spans="1:12" x14ac:dyDescent="0.2">
      <c r="A16" s="5" t="s">
        <v>306</v>
      </c>
      <c r="B16" s="5" t="s">
        <v>307</v>
      </c>
      <c r="C16" s="5" t="s">
        <v>308</v>
      </c>
      <c r="D16" s="5" t="s">
        <v>277</v>
      </c>
    </row>
    <row r="17" spans="1:4" x14ac:dyDescent="0.2">
      <c r="A17" s="5" t="s">
        <v>309</v>
      </c>
      <c r="B17" s="5" t="s">
        <v>310</v>
      </c>
      <c r="C17" s="5" t="s">
        <v>311</v>
      </c>
      <c r="D17" s="5" t="s">
        <v>277</v>
      </c>
    </row>
    <row r="18" spans="1:4" x14ac:dyDescent="0.2">
      <c r="A18" s="5" t="s">
        <v>312</v>
      </c>
      <c r="B18" s="5" t="s">
        <v>313</v>
      </c>
      <c r="C18" s="5" t="s">
        <v>314</v>
      </c>
      <c r="D18" s="5" t="s">
        <v>277</v>
      </c>
    </row>
    <row r="19" spans="1:4" x14ac:dyDescent="0.2">
      <c r="A19" s="5" t="s">
        <v>315</v>
      </c>
      <c r="B19" s="5" t="s">
        <v>316</v>
      </c>
      <c r="C19" s="5" t="s">
        <v>317</v>
      </c>
      <c r="D19" s="5" t="s">
        <v>277</v>
      </c>
    </row>
    <row r="20" spans="1:4" x14ac:dyDescent="0.2">
      <c r="A20" s="5" t="s">
        <v>318</v>
      </c>
      <c r="B20" s="5" t="s">
        <v>319</v>
      </c>
      <c r="C20" s="5" t="s">
        <v>320</v>
      </c>
      <c r="D20" s="5" t="s">
        <v>277</v>
      </c>
    </row>
    <row r="21" spans="1:4" x14ac:dyDescent="0.2">
      <c r="A21" s="5" t="s">
        <v>321</v>
      </c>
      <c r="B21" s="5" t="s">
        <v>322</v>
      </c>
      <c r="C21" s="5" t="s">
        <v>323</v>
      </c>
      <c r="D21" s="5" t="s">
        <v>277</v>
      </c>
    </row>
    <row r="22" spans="1:4" x14ac:dyDescent="0.2">
      <c r="A22" s="5" t="s">
        <v>324</v>
      </c>
      <c r="B22" s="5" t="s">
        <v>325</v>
      </c>
      <c r="C22" s="5" t="s">
        <v>326</v>
      </c>
      <c r="D22" s="5" t="s">
        <v>277</v>
      </c>
    </row>
  </sheetData>
  <mergeCells count="2">
    <mergeCell ref="A2:L2"/>
    <mergeCell ref="A1:L1"/>
  </mergeCells>
  <pageMargins left="0.25" right="0.25" top="0.5" bottom="0.5" header="0.5" footer="0.5"/>
  <pageSetup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1"/>
  <sheetViews>
    <sheetView showGridLines="0" workbookViewId="0">
      <pane ySplit="4" topLeftCell="A5" activePane="bottomLeft" state="frozen"/>
      <selection pane="bottomLeft"/>
    </sheetView>
  </sheetViews>
  <sheetFormatPr baseColWidth="10" defaultColWidth="8.83203125" defaultRowHeight="15" x14ac:dyDescent="0.2"/>
  <cols>
    <col min="1" max="1" width="45" customWidth="1"/>
    <col min="2" max="3" width="18" customWidth="1"/>
  </cols>
  <sheetData>
    <row r="1" spans="1:12" ht="30" customHeight="1" x14ac:dyDescent="0.2">
      <c r="A1" s="16" t="s">
        <v>327</v>
      </c>
      <c r="B1" s="15"/>
      <c r="C1" s="15"/>
      <c r="D1" s="15"/>
      <c r="E1" s="15"/>
      <c r="F1" s="15"/>
      <c r="G1" s="15"/>
      <c r="H1" s="15"/>
      <c r="I1" s="15"/>
      <c r="J1" s="15"/>
      <c r="K1" s="15"/>
      <c r="L1" s="15"/>
    </row>
    <row r="2" spans="1:12" ht="30" customHeight="1" x14ac:dyDescent="0.2">
      <c r="A2" s="14" t="s">
        <v>328</v>
      </c>
      <c r="B2" s="15"/>
      <c r="C2" s="15"/>
      <c r="D2" s="15"/>
      <c r="E2" s="15"/>
      <c r="F2" s="15"/>
      <c r="G2" s="15"/>
      <c r="H2" s="15"/>
      <c r="I2" s="15"/>
      <c r="J2" s="15"/>
      <c r="K2" s="15"/>
      <c r="L2" s="15"/>
    </row>
    <row r="4" spans="1:12" ht="16" customHeight="1" x14ac:dyDescent="0.2">
      <c r="A4" s="4" t="s">
        <v>329</v>
      </c>
      <c r="B4" s="4" t="s">
        <v>330</v>
      </c>
    </row>
    <row r="5" spans="1:12" x14ac:dyDescent="0.2">
      <c r="A5" s="5" t="s">
        <v>32</v>
      </c>
      <c r="B5" s="5">
        <f>COUNTIF('Demo Build Tracker'!H:H,A5)</f>
        <v>0</v>
      </c>
    </row>
    <row r="6" spans="1:12" x14ac:dyDescent="0.2">
      <c r="A6" s="5" t="s">
        <v>331</v>
      </c>
      <c r="B6" s="5">
        <f>COUNTIF('Demo Build Tracker'!H:H,A6)</f>
        <v>0</v>
      </c>
    </row>
    <row r="7" spans="1:12" x14ac:dyDescent="0.2">
      <c r="A7" s="5" t="s">
        <v>332</v>
      </c>
      <c r="B7" s="5">
        <f>COUNTIF('Demo Build Tracker'!H:H,A7)</f>
        <v>0</v>
      </c>
    </row>
    <row r="8" spans="1:12" x14ac:dyDescent="0.2">
      <c r="A8" s="5" t="s">
        <v>333</v>
      </c>
      <c r="B8" s="5">
        <f>COUNTIF('Demo Build Tracker'!H:H,A8)</f>
        <v>0</v>
      </c>
    </row>
    <row r="9" spans="1:12" x14ac:dyDescent="0.2">
      <c r="A9" s="5" t="s">
        <v>334</v>
      </c>
      <c r="B9" s="5">
        <f>COUNTIF('Demo Build Tracker'!H:H,A9)</f>
        <v>0</v>
      </c>
    </row>
    <row r="10" spans="1:12" x14ac:dyDescent="0.2">
      <c r="A10" s="5" t="s">
        <v>335</v>
      </c>
      <c r="B10" s="5">
        <f>COUNTIF('Demo Build Tracker'!H:H,A10)</f>
        <v>0</v>
      </c>
    </row>
    <row r="13" spans="1:12" ht="16" customHeight="1" x14ac:dyDescent="0.2">
      <c r="A13" s="12" t="s">
        <v>11</v>
      </c>
      <c r="B13" s="12" t="s">
        <v>336</v>
      </c>
      <c r="C13" s="12" t="s">
        <v>333</v>
      </c>
      <c r="D13" s="12"/>
      <c r="E13" s="12"/>
      <c r="F13" s="12"/>
      <c r="G13" s="12"/>
      <c r="H13" s="12"/>
      <c r="I13" s="12"/>
      <c r="J13" s="12"/>
      <c r="K13" s="12"/>
      <c r="L13" s="12"/>
    </row>
    <row r="14" spans="1:12" x14ac:dyDescent="0.2">
      <c r="A14" s="5" t="s">
        <v>24</v>
      </c>
      <c r="B14" s="5">
        <f>COUNTIF('Demo Build Tracker'!A:A,A14)</f>
        <v>1</v>
      </c>
      <c r="C14" s="5">
        <f>COUNTIFS('Demo Build Tracker'!A:A,A14,'Demo Build Tracker'!H:H,"Validated")</f>
        <v>0</v>
      </c>
    </row>
    <row r="15" spans="1:12" x14ac:dyDescent="0.2">
      <c r="A15" s="5" t="s">
        <v>36</v>
      </c>
      <c r="B15" s="5">
        <f>COUNTIF('Demo Build Tracker'!A:A,A15)</f>
        <v>6</v>
      </c>
      <c r="C15" s="5">
        <f>COUNTIFS('Demo Build Tracker'!A:A,A15,'Demo Build Tracker'!H:H,"Validated")</f>
        <v>0</v>
      </c>
    </row>
    <row r="16" spans="1:12" x14ac:dyDescent="0.2">
      <c r="A16" s="5" t="s">
        <v>67</v>
      </c>
      <c r="B16" s="5">
        <f>COUNTIF('Demo Build Tracker'!A:A,A16)</f>
        <v>7</v>
      </c>
      <c r="C16" s="5">
        <f>COUNTIFS('Demo Build Tracker'!A:A,A16,'Demo Build Tracker'!H:H,"Validated")</f>
        <v>0</v>
      </c>
    </row>
    <row r="17" spans="1:3" x14ac:dyDescent="0.2">
      <c r="A17" s="5" t="s">
        <v>107</v>
      </c>
      <c r="B17" s="5">
        <f>COUNTIF('Demo Build Tracker'!A:A,A17)</f>
        <v>7</v>
      </c>
      <c r="C17" s="5">
        <f>COUNTIFS('Demo Build Tracker'!A:A,A17,'Demo Build Tracker'!H:H,"Validated")</f>
        <v>0</v>
      </c>
    </row>
    <row r="18" spans="1:3" x14ac:dyDescent="0.2">
      <c r="A18" s="5" t="s">
        <v>148</v>
      </c>
      <c r="B18" s="5">
        <f>COUNTIF('Demo Build Tracker'!A:A,A18)</f>
        <v>7</v>
      </c>
      <c r="C18" s="5">
        <f>COUNTIFS('Demo Build Tracker'!A:A,A18,'Demo Build Tracker'!H:H,"Validated")</f>
        <v>0</v>
      </c>
    </row>
    <row r="19" spans="1:3" x14ac:dyDescent="0.2">
      <c r="A19" s="5" t="s">
        <v>191</v>
      </c>
      <c r="B19" s="5">
        <f>COUNTIF('Demo Build Tracker'!A:A,A19)</f>
        <v>5</v>
      </c>
      <c r="C19" s="5">
        <f>COUNTIFS('Demo Build Tracker'!A:A,A19,'Demo Build Tracker'!H:H,"Validated")</f>
        <v>0</v>
      </c>
    </row>
    <row r="20" spans="1:3" x14ac:dyDescent="0.2">
      <c r="A20" s="5" t="s">
        <v>223</v>
      </c>
      <c r="B20" s="5">
        <f>COUNTIF('Demo Build Tracker'!A:A,A20)</f>
        <v>6</v>
      </c>
      <c r="C20" s="5">
        <f>COUNTIFS('Demo Build Tracker'!A:A,A20,'Demo Build Tracker'!H:H,"Validated")</f>
        <v>0</v>
      </c>
    </row>
    <row r="21" spans="1:3" x14ac:dyDescent="0.2">
      <c r="A21" s="5" t="s">
        <v>255</v>
      </c>
      <c r="B21" s="5">
        <f>COUNTIF('Demo Build Tracker'!A:A,A21)</f>
        <v>1</v>
      </c>
      <c r="C21" s="5">
        <f>COUNTIFS('Demo Build Tracker'!A:A,A21,'Demo Build Tracker'!H:H,"Validated")</f>
        <v>0</v>
      </c>
    </row>
  </sheetData>
  <mergeCells count="2">
    <mergeCell ref="A2:L2"/>
    <mergeCell ref="A1:L1"/>
  </mergeCells>
  <pageMargins left="0.25" right="0.25" top="0.5" bottom="0.5"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showGridLines="0" workbookViewId="0">
      <pane ySplit="4" topLeftCell="A5" activePane="bottomLeft" state="frozen"/>
      <selection pane="bottomLeft"/>
    </sheetView>
  </sheetViews>
  <sheetFormatPr baseColWidth="10" defaultColWidth="8.83203125" defaultRowHeight="15" x14ac:dyDescent="0.2"/>
  <cols>
    <col min="1" max="1" width="36" customWidth="1"/>
    <col min="2" max="2" width="14" customWidth="1"/>
    <col min="3" max="3" width="70" customWidth="1"/>
  </cols>
  <sheetData>
    <row r="1" spans="1:12" ht="30" customHeight="1" x14ac:dyDescent="0.2">
      <c r="A1" s="16" t="s">
        <v>337</v>
      </c>
      <c r="B1" s="15"/>
      <c r="C1" s="15"/>
      <c r="D1" s="15"/>
      <c r="E1" s="15"/>
      <c r="F1" s="15"/>
      <c r="G1" s="15"/>
      <c r="H1" s="15"/>
      <c r="I1" s="15"/>
      <c r="J1" s="15"/>
      <c r="K1" s="15"/>
      <c r="L1" s="15"/>
    </row>
    <row r="2" spans="1:12" ht="30" customHeight="1" x14ac:dyDescent="0.2">
      <c r="A2" s="14" t="s">
        <v>338</v>
      </c>
      <c r="B2" s="15"/>
      <c r="C2" s="15"/>
      <c r="D2" s="15"/>
      <c r="E2" s="15"/>
      <c r="F2" s="15"/>
      <c r="G2" s="15"/>
      <c r="H2" s="15"/>
      <c r="I2" s="15"/>
      <c r="J2" s="15"/>
      <c r="K2" s="15"/>
      <c r="L2" s="15"/>
    </row>
    <row r="4" spans="1:12" ht="16" customHeight="1" x14ac:dyDescent="0.2">
      <c r="A4" s="4" t="s">
        <v>339</v>
      </c>
      <c r="B4" s="4" t="s">
        <v>340</v>
      </c>
      <c r="C4" s="4" t="s">
        <v>341</v>
      </c>
    </row>
    <row r="5" spans="1:12" x14ac:dyDescent="0.2">
      <c r="A5" s="5" t="s">
        <v>342</v>
      </c>
      <c r="B5" s="13">
        <v>0.15</v>
      </c>
      <c r="C5" s="5"/>
    </row>
    <row r="6" spans="1:12" x14ac:dyDescent="0.2">
      <c r="A6" s="5" t="s">
        <v>343</v>
      </c>
      <c r="B6" s="13">
        <v>0.2</v>
      </c>
      <c r="C6" s="5"/>
    </row>
    <row r="7" spans="1:12" x14ac:dyDescent="0.2">
      <c r="A7" s="5" t="s">
        <v>344</v>
      </c>
      <c r="B7" s="13">
        <v>0.15</v>
      </c>
      <c r="C7" s="5"/>
    </row>
    <row r="8" spans="1:12" x14ac:dyDescent="0.2">
      <c r="A8" s="5" t="s">
        <v>345</v>
      </c>
      <c r="B8" s="13">
        <v>0.2</v>
      </c>
      <c r="C8" s="5"/>
    </row>
    <row r="9" spans="1:12" x14ac:dyDescent="0.2">
      <c r="A9" s="5" t="s">
        <v>346</v>
      </c>
      <c r="B9" s="13">
        <v>0.15</v>
      </c>
      <c r="C9" s="5"/>
    </row>
    <row r="10" spans="1:12" x14ac:dyDescent="0.2">
      <c r="A10" s="5" t="s">
        <v>347</v>
      </c>
      <c r="B10" s="13">
        <v>0.15</v>
      </c>
      <c r="C10" s="5"/>
    </row>
    <row r="11" spans="1:12" x14ac:dyDescent="0.2">
      <c r="A11" s="5" t="s">
        <v>348</v>
      </c>
      <c r="B11" s="13">
        <v>0.05</v>
      </c>
      <c r="C11" s="5"/>
    </row>
  </sheetData>
  <mergeCells count="2">
    <mergeCell ref="A2:L2"/>
    <mergeCell ref="A1:L1"/>
  </mergeCells>
  <pageMargins left="0.25" right="0.25" top="0.5" bottom="0.5" header="0.5" footer="0.5"/>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
  <sheetViews>
    <sheetView showGridLines="0" workbookViewId="0"/>
  </sheetViews>
  <sheetFormatPr baseColWidth="10" defaultColWidth="8.83203125" defaultRowHeight="15" x14ac:dyDescent="0.2"/>
  <cols>
    <col min="1" max="1" width="26" customWidth="1"/>
    <col min="2" max="2" width="120" customWidth="1"/>
  </cols>
  <sheetData>
    <row r="1" spans="1:12" ht="30" customHeight="1" x14ac:dyDescent="0.2">
      <c r="A1" s="16" t="s">
        <v>349</v>
      </c>
      <c r="B1" s="15"/>
      <c r="C1" s="15"/>
      <c r="D1" s="15"/>
      <c r="E1" s="15"/>
      <c r="F1" s="15"/>
      <c r="G1" s="15"/>
      <c r="H1" s="15"/>
      <c r="I1" s="15"/>
      <c r="J1" s="15"/>
      <c r="K1" s="15"/>
      <c r="L1" s="15"/>
    </row>
    <row r="2" spans="1:12" ht="30" customHeight="1" x14ac:dyDescent="0.2">
      <c r="A2" s="14" t="s">
        <v>350</v>
      </c>
      <c r="B2" s="15"/>
      <c r="C2" s="15"/>
      <c r="D2" s="15"/>
      <c r="E2" s="15"/>
      <c r="F2" s="15"/>
      <c r="G2" s="15"/>
      <c r="H2" s="15"/>
      <c r="I2" s="15"/>
      <c r="J2" s="15"/>
      <c r="K2" s="15"/>
      <c r="L2" s="15"/>
    </row>
    <row r="4" spans="1:12" ht="16" customHeight="1" x14ac:dyDescent="0.2">
      <c r="A4" s="4" t="s">
        <v>351</v>
      </c>
      <c r="B4" s="4" t="s">
        <v>352</v>
      </c>
    </row>
    <row r="5" spans="1:12" x14ac:dyDescent="0.2">
      <c r="A5" s="5" t="s">
        <v>353</v>
      </c>
      <c r="B5" s="5" t="s">
        <v>354</v>
      </c>
    </row>
    <row r="6" spans="1:12" ht="16" customHeight="1" x14ac:dyDescent="0.2">
      <c r="A6" s="5" t="s">
        <v>355</v>
      </c>
      <c r="B6" s="1" t="s">
        <v>356</v>
      </c>
    </row>
    <row r="7" spans="1:12" x14ac:dyDescent="0.2">
      <c r="A7" s="5" t="s">
        <v>357</v>
      </c>
      <c r="B7" s="5" t="s">
        <v>358</v>
      </c>
    </row>
    <row r="8" spans="1:12" x14ac:dyDescent="0.2">
      <c r="A8" s="5" t="s">
        <v>359</v>
      </c>
      <c r="B8" s="5" t="s">
        <v>360</v>
      </c>
    </row>
    <row r="9" spans="1:12" x14ac:dyDescent="0.2">
      <c r="A9" s="5" t="s">
        <v>361</v>
      </c>
      <c r="B9" s="5" t="s">
        <v>362</v>
      </c>
    </row>
    <row r="10" spans="1:12" x14ac:dyDescent="0.2">
      <c r="A10" s="5" t="s">
        <v>363</v>
      </c>
      <c r="B10" s="5" t="s">
        <v>364</v>
      </c>
      <c r="C10" s="5"/>
      <c r="D10" s="5"/>
      <c r="E10" s="5"/>
      <c r="F10" s="5"/>
      <c r="G10" s="5"/>
      <c r="H10" s="5"/>
      <c r="I10" s="5"/>
      <c r="J10" s="5"/>
      <c r="K10" s="5"/>
      <c r="L10" s="5"/>
    </row>
    <row r="11" spans="1:12" ht="30" x14ac:dyDescent="0.2">
      <c r="A11" s="5" t="s">
        <v>365</v>
      </c>
      <c r="B11" s="5" t="s">
        <v>366</v>
      </c>
      <c r="C11" s="5"/>
      <c r="D11" s="5"/>
      <c r="E11" s="5"/>
      <c r="F11" s="5"/>
      <c r="G11" s="5"/>
      <c r="H11" s="5"/>
      <c r="I11" s="5"/>
      <c r="J11" s="5"/>
      <c r="K11" s="5"/>
      <c r="L11" s="5"/>
    </row>
  </sheetData>
  <mergeCells count="2">
    <mergeCell ref="A2:L2"/>
    <mergeCell ref="A1:L1"/>
  </mergeCells>
  <pageMargins left="0.25" right="0.25" top="0.5" bottom="0.5" header="0.5" footer="0.5"/>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showGridLines="0" workbookViewId="0">
      <pane ySplit="4" topLeftCell="A5" activePane="bottomLeft" state="frozen"/>
      <selection pane="bottomLeft"/>
    </sheetView>
  </sheetViews>
  <sheetFormatPr baseColWidth="10" defaultColWidth="8.83203125" defaultRowHeight="15" x14ac:dyDescent="0.2"/>
  <cols>
    <col min="1" max="1" width="27" customWidth="1"/>
    <col min="2" max="2" width="64" customWidth="1"/>
    <col min="3" max="3" width="24" customWidth="1"/>
    <col min="4" max="4" width="30" customWidth="1"/>
    <col min="5" max="5" width="58" customWidth="1"/>
    <col min="6" max="6" width="60" customWidth="1"/>
  </cols>
  <sheetData>
    <row r="1" spans="1:6" ht="30" customHeight="1" x14ac:dyDescent="0.2">
      <c r="A1" s="16" t="s">
        <v>367</v>
      </c>
      <c r="B1" s="15"/>
      <c r="C1" s="15"/>
      <c r="D1" s="15"/>
      <c r="E1" s="15"/>
      <c r="F1" s="15"/>
    </row>
    <row r="2" spans="1:6" x14ac:dyDescent="0.2">
      <c r="A2" s="17" t="s">
        <v>368</v>
      </c>
      <c r="B2" s="15"/>
      <c r="C2" s="15"/>
      <c r="D2" s="15"/>
      <c r="E2" s="15"/>
      <c r="F2" s="15"/>
    </row>
    <row r="4" spans="1:6" ht="16" x14ac:dyDescent="0.2">
      <c r="A4" s="4" t="s">
        <v>369</v>
      </c>
      <c r="B4" s="4" t="s">
        <v>370</v>
      </c>
      <c r="C4" s="4" t="s">
        <v>371</v>
      </c>
      <c r="D4" s="4" t="s">
        <v>372</v>
      </c>
      <c r="E4" s="4" t="s">
        <v>373</v>
      </c>
      <c r="F4" s="4" t="s">
        <v>374</v>
      </c>
    </row>
    <row r="5" spans="1:6" ht="45" x14ac:dyDescent="0.2">
      <c r="A5" s="5" t="s">
        <v>375</v>
      </c>
      <c r="B5" s="5" t="s">
        <v>376</v>
      </c>
      <c r="C5" s="5" t="s">
        <v>377</v>
      </c>
      <c r="D5" s="5" t="s">
        <v>378</v>
      </c>
      <c r="E5" s="5" t="s">
        <v>379</v>
      </c>
      <c r="F5" s="5" t="s">
        <v>380</v>
      </c>
    </row>
    <row r="6" spans="1:6" ht="45" x14ac:dyDescent="0.2">
      <c r="A6" s="5" t="s">
        <v>381</v>
      </c>
      <c r="B6" s="5" t="s">
        <v>382</v>
      </c>
      <c r="C6" s="5" t="s">
        <v>383</v>
      </c>
      <c r="D6" s="5" t="s">
        <v>384</v>
      </c>
      <c r="E6" s="5" t="s">
        <v>385</v>
      </c>
      <c r="F6" s="5" t="s">
        <v>386</v>
      </c>
    </row>
    <row r="7" spans="1:6" ht="30" x14ac:dyDescent="0.2">
      <c r="A7" s="5" t="s">
        <v>387</v>
      </c>
      <c r="B7" s="5" t="s">
        <v>388</v>
      </c>
      <c r="C7" s="5" t="s">
        <v>194</v>
      </c>
      <c r="D7" s="5" t="s">
        <v>389</v>
      </c>
      <c r="E7" s="5" t="s">
        <v>390</v>
      </c>
      <c r="F7" s="5" t="s">
        <v>391</v>
      </c>
    </row>
    <row r="8" spans="1:6" ht="30" x14ac:dyDescent="0.2">
      <c r="A8" s="5" t="s">
        <v>392</v>
      </c>
      <c r="B8" s="5" t="s">
        <v>393</v>
      </c>
      <c r="C8" s="5" t="s">
        <v>394</v>
      </c>
      <c r="D8" s="5" t="s">
        <v>395</v>
      </c>
      <c r="E8" s="5" t="s">
        <v>396</v>
      </c>
      <c r="F8" s="5" t="s">
        <v>397</v>
      </c>
    </row>
    <row r="9" spans="1:6" ht="30" x14ac:dyDescent="0.2">
      <c r="A9" s="5" t="s">
        <v>398</v>
      </c>
      <c r="B9" s="5" t="s">
        <v>399</v>
      </c>
      <c r="C9" s="5" t="s">
        <v>400</v>
      </c>
      <c r="D9" s="5" t="s">
        <v>401</v>
      </c>
      <c r="E9" s="5" t="s">
        <v>402</v>
      </c>
      <c r="F9" s="5" t="s">
        <v>403</v>
      </c>
    </row>
    <row r="10" spans="1:6" ht="30" x14ac:dyDescent="0.2">
      <c r="A10" s="5" t="s">
        <v>404</v>
      </c>
      <c r="B10" s="5" t="s">
        <v>405</v>
      </c>
      <c r="C10" s="5" t="s">
        <v>406</v>
      </c>
      <c r="D10" s="5" t="s">
        <v>407</v>
      </c>
      <c r="E10" s="5" t="s">
        <v>408</v>
      </c>
      <c r="F10" s="5" t="s">
        <v>409</v>
      </c>
    </row>
    <row r="11" spans="1:6" ht="45" x14ac:dyDescent="0.2">
      <c r="A11" s="5" t="s">
        <v>410</v>
      </c>
      <c r="B11" s="5" t="s">
        <v>411</v>
      </c>
      <c r="C11" s="5" t="s">
        <v>412</v>
      </c>
      <c r="D11" s="5" t="s">
        <v>413</v>
      </c>
      <c r="E11" s="5" t="s">
        <v>414</v>
      </c>
      <c r="F11" s="5" t="s">
        <v>415</v>
      </c>
    </row>
  </sheetData>
  <mergeCells count="2">
    <mergeCell ref="A2:F2"/>
    <mergeCell ref="A1:F1"/>
  </mergeCells>
  <pageMargins left="0.25" right="0.25" top="0.5" bottom="0.5" header="0.5" footer="0.5"/>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756f74c-114e-4470-a216-dc827f0c074d">
      <Terms xmlns="http://schemas.microsoft.com/office/infopath/2007/PartnerControls"/>
    </lcf76f155ced4ddcb4097134ff3c332f>
    <TaxCatchAll xmlns="f230f452-75e4-4b0a-ae46-19d41b8bc0d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FF8D10403D5D46AB3190543C6D23AF" ma:contentTypeVersion="18" ma:contentTypeDescription="Create a new document." ma:contentTypeScope="" ma:versionID="8f97b194ed53db19f8771011f6a7ca0d">
  <xsd:schema xmlns:xsd="http://www.w3.org/2001/XMLSchema" xmlns:xs="http://www.w3.org/2001/XMLSchema" xmlns:p="http://schemas.microsoft.com/office/2006/metadata/properties" xmlns:ns2="6756f74c-114e-4470-a216-dc827f0c074d" xmlns:ns3="9df60515-001b-4701-b574-6a615a7c4281" xmlns:ns4="f230f452-75e4-4b0a-ae46-19d41b8bc0d0" targetNamespace="http://schemas.microsoft.com/office/2006/metadata/properties" ma:root="true" ma:fieldsID="f7541a72903424d43e3bc48a226f678c" ns2:_="" ns3:_="" ns4:_="">
    <xsd:import namespace="6756f74c-114e-4470-a216-dc827f0c074d"/>
    <xsd:import namespace="9df60515-001b-4701-b574-6a615a7c4281"/>
    <xsd:import namespace="f230f452-75e4-4b0a-ae46-19d41b8bc0d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56f74c-114e-4470-a216-dc827f0c0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bb55382-b84b-4de7-b042-61b6344f40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f60515-001b-4701-b574-6a615a7c428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30f452-75e4-4b0a-ae46-19d41b8bc0d0"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a2d40597-50fe-4193-b700-7cfed6e27959}" ma:internalName="TaxCatchAll" ma:showField="CatchAllData" ma:web="9df60515-001b-4701-b574-6a615a7c42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76354E-CF24-46F9-B6D8-6AE810443EDF}">
  <ds:schemaRefs>
    <ds:schemaRef ds:uri="http://schemas.microsoft.com/sharepoint/v3/contenttype/forms"/>
  </ds:schemaRefs>
</ds:datastoreItem>
</file>

<file path=customXml/itemProps2.xml><?xml version="1.0" encoding="utf-8"?>
<ds:datastoreItem xmlns:ds="http://schemas.openxmlformats.org/officeDocument/2006/customXml" ds:itemID="{774DA82E-72A5-4E2F-B82E-5F387533F7F9}">
  <ds:schemaRefs>
    <ds:schemaRef ds:uri="6756f74c-114e-4470-a216-dc827f0c074d"/>
    <ds:schemaRef ds:uri="9df60515-001b-4701-b574-6a615a7c4281"/>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www.w3.org/XML/1998/namespace"/>
    <ds:schemaRef ds:uri="http://schemas.openxmlformats.org/package/2006/metadata/core-properties"/>
    <ds:schemaRef ds:uri="f230f452-75e4-4b0a-ae46-19d41b8bc0d0"/>
    <ds:schemaRef ds:uri="http://schemas.microsoft.com/office/2006/metadata/properties"/>
  </ds:schemaRefs>
</ds:datastoreItem>
</file>

<file path=customXml/itemProps3.xml><?xml version="1.0" encoding="utf-8"?>
<ds:datastoreItem xmlns:ds="http://schemas.openxmlformats.org/officeDocument/2006/customXml" ds:itemID="{6A520E99-0588-4425-B9FC-BB8C30EC72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56f74c-114e-4470-a216-dc827f0c074d"/>
    <ds:schemaRef ds:uri="9df60515-001b-4701-b574-6a615a7c4281"/>
    <ds:schemaRef ds:uri="f230f452-75e4-4b0a-ae46-19d41b8bc0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ca75128-a244-4596-877b-f24828e476e2}" enabled="0" method="" siteId="{9ca75128-a244-4596-877b-f24828e476e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CE-Only POV</vt:lpstr>
      <vt:lpstr>Demo Build Tracker</vt:lpstr>
      <vt:lpstr>Agenda Summary</vt:lpstr>
      <vt:lpstr>Hero Records</vt:lpstr>
      <vt:lpstr>Build Status Summary</vt:lpstr>
      <vt:lpstr>Scoring Weights</vt:lpstr>
      <vt:lpstr>Source Notes</vt:lpstr>
      <vt:lpstr>Demo Build Lens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Holson Yap</dc:creator>
  <cp:keywords/>
  <dc:description/>
  <cp:lastModifiedBy>Holson Yap</cp:lastModifiedBy>
  <cp:revision/>
  <dcterms:created xsi:type="dcterms:W3CDTF">2026-08-05T17:08:42Z</dcterms:created>
  <dcterms:modified xsi:type="dcterms:W3CDTF">2026-08-10T21:29:54Z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0x010100D8FF8D10403D5D46AB3190543C6D23AF</vt:lpwstr>
  </property>
  <property fmtid="{D5CDD505-2E9C-101B-9397-08002B2CF9AE}" pid="3" name="MediaServiceImageTags">
    <vt:lpwstr/>
  </property>
</Properties>
</file>